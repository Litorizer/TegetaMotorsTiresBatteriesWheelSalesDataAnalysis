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kc\Desktop\FilteredDataNewNikaNuka\"/>
    </mc:Choice>
  </mc:AlternateContent>
  <xr:revisionPtr revIDLastSave="0" documentId="13_ncr:1_{9F85680E-DAA9-4D7B-A02A-EB0FD3FABFD5}" xr6:coauthVersionLast="47" xr6:coauthVersionMax="47" xr10:uidLastSave="{00000000-0000-0000-0000-000000000000}"/>
  <bookViews>
    <workbookView xWindow="-108" yWindow="-108" windowWidth="23256" windowHeight="12576" xr2:uid="{45EEDC7F-D80E-0C4C-A04F-BB486A31BC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2" i="1" l="1"/>
  <c r="C190" i="1"/>
  <c r="C189" i="1"/>
  <c r="C188" i="1"/>
  <c r="C187" i="1"/>
  <c r="C186" i="1"/>
  <c r="C185" i="1"/>
  <c r="C184" i="1"/>
  <c r="C183" i="1"/>
  <c r="C182" i="1"/>
  <c r="C180" i="1"/>
  <c r="C179" i="1"/>
  <c r="C178" i="1"/>
  <c r="C177" i="1"/>
  <c r="C176" i="1"/>
  <c r="C175" i="1"/>
  <c r="C174" i="1"/>
  <c r="C172" i="1"/>
  <c r="C171" i="1"/>
  <c r="C170" i="1"/>
  <c r="C169" i="1"/>
  <c r="C168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8" i="1"/>
  <c r="C77" i="1"/>
  <c r="C76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3" i="1"/>
  <c r="C32" i="1"/>
  <c r="C31" i="1"/>
  <c r="C30" i="1"/>
  <c r="C29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<sst xmlns="http://schemas.openxmlformats.org/spreadsheetml/2006/main" count="788" uniqueCount="161">
  <si>
    <t>Category</t>
  </si>
  <si>
    <t>ღირებულება ბრუტო(GEL)</t>
  </si>
  <si>
    <t>ღირებულება ნეტო(GEL)</t>
  </si>
  <si>
    <t>ბრენდი</t>
  </si>
  <si>
    <t>სექტორი</t>
  </si>
  <si>
    <t>მაღაზია</t>
  </si>
  <si>
    <t>New_Date</t>
  </si>
  <si>
    <t>აკუმულატორი VARTA BLU D47 60 ა*ს JIS R+</t>
  </si>
  <si>
    <t>ზეთი</t>
  </si>
  <si>
    <t>VARTA</t>
  </si>
  <si>
    <t>13</t>
  </si>
  <si>
    <t>1021</t>
  </si>
  <si>
    <t>საბურ. BSIN 195/55R15 RE003 85W</t>
  </si>
  <si>
    <t>აკუმულატორი</t>
  </si>
  <si>
    <t>BRIDGESTONE</t>
  </si>
  <si>
    <t>11</t>
  </si>
  <si>
    <t>ზეთი SHELL HELIX ULTRA 5W30 4L</t>
  </si>
  <si>
    <t>საბურ.</t>
  </si>
  <si>
    <t>SHELL</t>
  </si>
  <si>
    <t>14</t>
  </si>
  <si>
    <t>აკუმულატორი VARTA BLU B31 45 ა*ს JIS3 R+</t>
  </si>
  <si>
    <t>საბურ. BSIN 175/65R14 82H EP150</t>
  </si>
  <si>
    <t>საბურ. Hifly 245/40R18 97W HF805</t>
  </si>
  <si>
    <t>HIFLY</t>
  </si>
  <si>
    <t>ზეთი ძრავის TITAN SUPERSYN D1 5W30 1L</t>
  </si>
  <si>
    <t>FUCHS TITAN</t>
  </si>
  <si>
    <t>ზეთი SHELL HELIX ULTRA 5W30 209L</t>
  </si>
  <si>
    <t>აკუმულატორი VARTA BLU D24 60 ა*ს R+</t>
  </si>
  <si>
    <t>აკუმულატორი VARTA BLU G7 95 ა*ს JIS R+</t>
  </si>
  <si>
    <t>საბურ. BST 235/70R16 106T D697</t>
  </si>
  <si>
    <t>საბურ. BSJ 265/65R17 112S D840</t>
  </si>
  <si>
    <t>ზეთი SHELL SPIRAX S5 ATE 75W90 1L</t>
  </si>
  <si>
    <t>აკუმულატორი VARTA BLACK B19 45 ა*ს R+</t>
  </si>
  <si>
    <t>საბურ. BST 225/50R17 94V EP300</t>
  </si>
  <si>
    <t>საბურ. Hifly 235/45R18 98W HF805</t>
  </si>
  <si>
    <t>საბურ. BSJ 265/35R19 94Y RE050</t>
  </si>
  <si>
    <t>საბურ. BSIN 195/65R15 91H EP150</t>
  </si>
  <si>
    <t>საბურ. BSJ 225/60R17 99H DHPS</t>
  </si>
  <si>
    <t>საბურ. BST 265/70R16 112H EP850</t>
  </si>
  <si>
    <t>საბურ. BSJ 285/60R18 116V DHPS</t>
  </si>
  <si>
    <t>ზეთი SHELL HELIX ULTRA ECT C3 5W30 4L</t>
  </si>
  <si>
    <t>ზეთი SHELL HELIX ULTRA ECT C3 5W30 1L</t>
  </si>
  <si>
    <t>საბ. Riken 225/50R17 98V All Season</t>
  </si>
  <si>
    <t>Tire</t>
  </si>
  <si>
    <t>RIKEN</t>
  </si>
  <si>
    <t>საბურ. BST 215/55R17 EP300</t>
  </si>
  <si>
    <t>საბურ. Riken 195/65R15 91H Road Perf.</t>
  </si>
  <si>
    <t>საბურ. BST 225/55R16 RE003</t>
  </si>
  <si>
    <t>საბურ. Riken 215/60R16 99H Road Perf.</t>
  </si>
  <si>
    <t>აკუმულატორი VARTA POW AGM YTX5L-BS 4 ა*ს</t>
  </si>
  <si>
    <t>ზეთი SHELL HELIX ULTRA PRO AF 5W30 4L</t>
  </si>
  <si>
    <t>ზეთი SHELL HELIX ULTRA 5W40 209L</t>
  </si>
  <si>
    <t>ზეთი SHELL HELIX HX7 10W40 1L</t>
  </si>
  <si>
    <t>საბურ. BSJ. 195/65R15 T01 91V</t>
  </si>
  <si>
    <t>ზეთი SHELL HELIX ULTRA 5W30 1L</t>
  </si>
  <si>
    <t>საბურ. Hifly 205/55R17 95W HF805</t>
  </si>
  <si>
    <t>საბურ. BSJ 255/50R19 103V DHPS</t>
  </si>
  <si>
    <t>საბურ. BF Good. 215/65R16 103/100S KO2</t>
  </si>
  <si>
    <t>BF GOODRICH</t>
  </si>
  <si>
    <t>ზეთი ტრანს. TITAN ATF 6400 (ATF VI) 1L</t>
  </si>
  <si>
    <t>საბურ. BST 215/60R16 EP300</t>
  </si>
  <si>
    <t>საბურ. Viatti 205/60R16 V-130</t>
  </si>
  <si>
    <t>VIATTI</t>
  </si>
  <si>
    <t>ზეთი ძრავის TITAN SYN MC 10W40 4L</t>
  </si>
  <si>
    <t>ზეთი SHELL HELIX ULTRA PRO AF-L 5W30 1L</t>
  </si>
  <si>
    <t>ზეთი ძრავის TITAN SUPERSYN D1 0W20 5L</t>
  </si>
  <si>
    <t>საბურ. Hifly 255/70R15 107/103S AT601</t>
  </si>
  <si>
    <t>ზეთი ძრავის TITAN SYN MC 10W40 205L</t>
  </si>
  <si>
    <t>ზეთი SHELL HELIX ULTRA PRO AF 5W20 1L</t>
  </si>
  <si>
    <t>ზეთი ტრანს. TITAN ATF 4400 (29934) 1L</t>
  </si>
  <si>
    <t>ზეთი ძრავის OEM TOYOTA 5W30 A5/B5 5L</t>
  </si>
  <si>
    <t>OEM</t>
  </si>
  <si>
    <t>ზეთი SHELL HELIX HX7 10W40 4L</t>
  </si>
  <si>
    <t>ზეთი ძრ. MOTUL 7100 10W40 4T   4L</t>
  </si>
  <si>
    <t>MOTUL</t>
  </si>
  <si>
    <t>საბურ. Starmaxx 275/40R20 ST450</t>
  </si>
  <si>
    <t>STARMAXX</t>
  </si>
  <si>
    <t>ზეთი SHELL HELIX HX8 5W40 4L</t>
  </si>
  <si>
    <t>ზეთი SHELL HELIX ULTRA 5W40 4L</t>
  </si>
  <si>
    <t>ზეთი SHELL HELIX ULTRA 5W40 1L</t>
  </si>
  <si>
    <t>ზეთი ძრავის TITAN SUPERSYN 5W30 4L</t>
  </si>
  <si>
    <t>ზეთი SHELL HELIX HX8 5W40 1L</t>
  </si>
  <si>
    <t>საბ. Kama .175/70R13 NK241</t>
  </si>
  <si>
    <t>KAMA</t>
  </si>
  <si>
    <t>აკუმულატორი ELECTRON A89L5 100 ა*ს R+</t>
  </si>
  <si>
    <t>ELECTRON</t>
  </si>
  <si>
    <t>ზეთი SHELL HELIX HX6 10W40 209L</t>
  </si>
  <si>
    <t>საბ. Riken 185/60R15 All Season</t>
  </si>
  <si>
    <t>საბურ. Hifly 285/75R16 126/123R AT601</t>
  </si>
  <si>
    <t>საბურ. BSIN 31X10.50R15 109S D697</t>
  </si>
  <si>
    <t>საბურ. HIFLY 245/45R18 HF805</t>
  </si>
  <si>
    <t>საბურ. Hifly 225/45R19 96W HP801</t>
  </si>
  <si>
    <t>ზეთი MOBIL-1 0W20 (DEXOS 1) 1L</t>
  </si>
  <si>
    <t>MOBIL</t>
  </si>
  <si>
    <t>საბურ. Hifly 175/65R14 HF201 82H/T</t>
  </si>
  <si>
    <t>საბურ. BSIN 245/45R17 RE003</t>
  </si>
  <si>
    <t>ზეთი ჰიდრ. PENTOSIN CHF 11S (06161) 1L</t>
  </si>
  <si>
    <t>ზეთი ძრავის TITAN SUPERSYN 5W40 205L</t>
  </si>
  <si>
    <t>საბურ. BSJ 275/60R18 DMV2 113R</t>
  </si>
  <si>
    <t>ზეთი Mobil Super 2000 X1 10W40 1L</t>
  </si>
  <si>
    <t>აკუმულატორი VARTA BLU B34 45 ა*ს JIS L+</t>
  </si>
  <si>
    <t>ზეთი SHELL HELIX ULTRA PRO AF 5W20 5L</t>
  </si>
  <si>
    <t>საბურ. BSJ. 195/60R15 T01 88V</t>
  </si>
  <si>
    <t>ზეთი ძრავის TITAN SUPERSYN 5W30 205L</t>
  </si>
  <si>
    <t>ზეთი CHAMPION ACT. DEF. 10W40 B4 205L</t>
  </si>
  <si>
    <t>CHAMPION</t>
  </si>
  <si>
    <t>ზეთი ძრ. TITAN GT1 FLEX 23 5W30 5L</t>
  </si>
  <si>
    <t>საბურ. BSJ 265/50R20 106V DHPS</t>
  </si>
  <si>
    <t>ზეთი SHELL HELIX ULTRA PRO AF 5W30 1L</t>
  </si>
  <si>
    <t>ზეთი ძრ. MOTUL HYBRID 0W20 4L</t>
  </si>
  <si>
    <t>საბურ.  BSIN 235/75R15 105S D697</t>
  </si>
  <si>
    <t>საბურ. Hifly 195/55R15 85V HF805</t>
  </si>
  <si>
    <t>ზეთი SHELL HELIX ULTRA PRO AF-L 5W30 5L</t>
  </si>
  <si>
    <t>საბურ. Hifly 175/70R13 HF201 82H/T</t>
  </si>
  <si>
    <t>აკუმულატორი VARTA BLU A14 40 ა*ს JIS3 R+</t>
  </si>
  <si>
    <t>საბ. Pir. 235/55R19 105V Scorpion Verde</t>
  </si>
  <si>
    <t>PIRELLI</t>
  </si>
  <si>
    <t>ზეთი SHELL HELIX ULTRA SN 0W20 1L</t>
  </si>
  <si>
    <t>აკუმულატორი VARTA SIL E38 74 ა*ს R+</t>
  </si>
  <si>
    <t>ზეთი ტრანს. MOTUL ATF VI 1L</t>
  </si>
  <si>
    <t>აკუმულატორი VARTA SIL D15 63 ა*ს R+</t>
  </si>
  <si>
    <t>აკუმულატორი VARTA SIL AGM G14 95 ა*ს R+</t>
  </si>
  <si>
    <t>საბურ. Hifly 245/55R19 103V HP801</t>
  </si>
  <si>
    <t>აკუმულატორი Exide AGM EK950 95 ა*ს R+</t>
  </si>
  <si>
    <t>EXIDE</t>
  </si>
  <si>
    <t>ზეთი SHELL HELIX ULTRA SN 0W20 5L</t>
  </si>
  <si>
    <t>ზეთი ძრ. MOTUL 6100 SYN-Nergy 5W30 4L</t>
  </si>
  <si>
    <t>საბურ. BSJ 275/40R20 106Y DHPS</t>
  </si>
  <si>
    <t>საბურ. BST 205/55R16 EP300</t>
  </si>
  <si>
    <t>ზეთი SHELL HELIX HX7 5W30 209L</t>
  </si>
  <si>
    <t>საბურ. Michelin 255/40R18 Pil. Sup. Sp.</t>
  </si>
  <si>
    <t>MICHELIN</t>
  </si>
  <si>
    <t>საბურ. BST 195/50R15 RE003 82W</t>
  </si>
  <si>
    <t>აკუმულატორი VARTA SIL H3 100 ა*ს R+</t>
  </si>
  <si>
    <t>საბ. Kumho 275/55R19 KL33</t>
  </si>
  <si>
    <t>KUMHO</t>
  </si>
  <si>
    <t>ზეთი ძრ. TITAN GT1 FLEX 23 5W30 1L</t>
  </si>
  <si>
    <t>საბურ. BSJ 255/50R20 109V DHPS</t>
  </si>
  <si>
    <t>საბურ. BSJ 265/50R19 110Y DHPS</t>
  </si>
  <si>
    <t>საბურ. BSJ 205/70R15 96S VRX</t>
  </si>
  <si>
    <t>საბურ. BSJ 315/35R20 106W DHPS</t>
  </si>
  <si>
    <t>აკუმულატორი VARTA BLU D43 60 ა*ს L+</t>
  </si>
  <si>
    <t>საბურ. BSJ 235/55R18 100V DHPS</t>
  </si>
  <si>
    <t>საბ. RoyalBl. 195/60R15 Royal Comf.</t>
  </si>
  <si>
    <t>ROYAL BLACK</t>
  </si>
  <si>
    <t>აკუმულატორი VARTA POW AGM YT7B-BS 7 ა*ს</t>
  </si>
  <si>
    <t>საბურ.  BSIN 215/70R16 100S D697</t>
  </si>
  <si>
    <t>ზეთი ძრ. MOTUL 8100 X-Cess 5W30 1L</t>
  </si>
  <si>
    <t>ზეთი SHELL HELIX HX7 5W40 209L</t>
  </si>
  <si>
    <t>ზეთი SHELL HELIX HX7 5W30 4L</t>
  </si>
  <si>
    <t>ზეთი SHELL HELIX HX7 5W30 1L</t>
  </si>
  <si>
    <t>საბ. Mich. 215/40R18 89Y Pilot Sport 4</t>
  </si>
  <si>
    <t>აკუმულატორი VARTA POW FRE YB9L-A2 9 ა*ს</t>
  </si>
  <si>
    <t>საბურ. BST 255/70R15 108H EP850</t>
  </si>
  <si>
    <t>ზეთი ტრანს. TITAN SINTOPOID FE 75W85 1L</t>
  </si>
  <si>
    <t>ზეთი ტრანს. OEM TOYOTA ATF WS 4L</t>
  </si>
  <si>
    <t>ზეთი ტრანს. TITAN SINTOPOID 75W90 1L</t>
  </si>
  <si>
    <t>საბ. Pirelli 225/45R17 91V P7 Cint.</t>
  </si>
  <si>
    <t>Date</t>
  </si>
  <si>
    <t>ProductName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</si>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</sst>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2" borderId="2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0" borderId="0" xfId="0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60A9C-6460-C147-B8C2-AA7F9ABA0098}">
  <dimension ref="A1:K192"/>
  <sheetViews>
    <sheetView tabSelected="1" workbookViewId="0">
      <selection activeCell="E2" sqref="E2"/>
    </sheetView>
  </sheetViews>
  <sheetFormatPr defaultColWidth="11.19921875" defaultRowHeight="15.6" x14ac:dyDescent="0.3"/>
  <sheetData>
    <row r="1" spans="1:11" ht="62.4" x14ac:dyDescent="0.3">
      <c r="A1" s="1" t="s">
        <v>158</v>
      </c>
      <c r="B1" s="1" t="s">
        <v>159</v>
      </c>
      <c r="C1" s="1" t="s">
        <v>0</v>
      </c>
      <c r="D1" s="1"/>
      <c r="E1" s="1" t="s">
        <v>160</v>
      </c>
      <c r="F1" s="2" t="s">
        <v>1</v>
      </c>
      <c r="G1" s="2" t="s">
        <v>2</v>
      </c>
      <c r="H1" s="1" t="s">
        <v>3</v>
      </c>
      <c r="I1" s="1" t="s">
        <v>4</v>
      </c>
      <c r="J1" s="1" t="s">
        <v>5</v>
      </c>
      <c r="K1" s="3" t="s">
        <v>6</v>
      </c>
    </row>
    <row r="2" spans="1:11" x14ac:dyDescent="0.3">
      <c r="A2" s="4">
        <v>44310</v>
      </c>
      <c r="B2" s="5" t="s">
        <v>7</v>
      </c>
      <c r="C2" s="5" t="str">
        <f>IF(LEFT($B2,FIND(" ",$B2)-1)=$D$2,"Oil",IF(LEFT($B2,FIND(" ",$B2)-1)=$D$3,"Battery",IF(LEFT($B2,FIND(" ",$B2)-1)=$D$4,"Tire", "      ")))</f>
        <v>Battery</v>
      </c>
      <c r="D2" s="5" t="s">
        <v>8</v>
      </c>
      <c r="E2" s="6">
        <v>-1</v>
      </c>
      <c r="F2" s="7">
        <v>-232.9</v>
      </c>
      <c r="G2" s="7">
        <v>-197.37</v>
      </c>
      <c r="H2" s="5" t="s">
        <v>9</v>
      </c>
      <c r="I2" s="5" t="s">
        <v>10</v>
      </c>
      <c r="J2" s="5" t="s">
        <v>11</v>
      </c>
      <c r="K2" s="8">
        <v>44287</v>
      </c>
    </row>
    <row r="3" spans="1:11" x14ac:dyDescent="0.3">
      <c r="A3" s="4">
        <v>44298</v>
      </c>
      <c r="B3" s="5" t="s">
        <v>12</v>
      </c>
      <c r="C3" s="5" t="str">
        <f t="shared" ref="C3:C67" si="0">IF(LEFT($B3,FIND(" ",$B3)-1)=$D$2,"Oil",IF(LEFT($B3,FIND(" ",$B3)-1)=$D$3,"Battery",IF(LEFT($B3,FIND(" ",$B3)-1)=$D$4,"Tire", "      ")))</f>
        <v>Tire</v>
      </c>
      <c r="D3" s="5" t="s">
        <v>13</v>
      </c>
      <c r="E3" s="6">
        <v>4</v>
      </c>
      <c r="F3" s="7">
        <v>560</v>
      </c>
      <c r="G3" s="7">
        <v>474.58</v>
      </c>
      <c r="H3" s="5" t="s">
        <v>14</v>
      </c>
      <c r="I3" s="5" t="s">
        <v>15</v>
      </c>
      <c r="J3" s="5" t="s">
        <v>11</v>
      </c>
      <c r="K3" s="8">
        <v>44288</v>
      </c>
    </row>
    <row r="4" spans="1:11" x14ac:dyDescent="0.3">
      <c r="A4" s="4">
        <v>44288</v>
      </c>
      <c r="B4" s="5" t="s">
        <v>16</v>
      </c>
      <c r="C4" s="5" t="str">
        <f t="shared" si="0"/>
        <v>Oil</v>
      </c>
      <c r="D4" s="5" t="s">
        <v>17</v>
      </c>
      <c r="E4" s="6">
        <v>4</v>
      </c>
      <c r="F4" s="7">
        <v>105</v>
      </c>
      <c r="G4" s="7">
        <v>88.98</v>
      </c>
      <c r="H4" s="5" t="s">
        <v>18</v>
      </c>
      <c r="I4" s="5" t="s">
        <v>19</v>
      </c>
      <c r="J4" s="5" t="s">
        <v>11</v>
      </c>
      <c r="K4" s="8">
        <v>44289</v>
      </c>
    </row>
    <row r="5" spans="1:11" x14ac:dyDescent="0.3">
      <c r="A5" s="4">
        <v>44288</v>
      </c>
      <c r="B5" s="5" t="s">
        <v>20</v>
      </c>
      <c r="C5" s="5" t="str">
        <f t="shared" si="0"/>
        <v>Battery</v>
      </c>
      <c r="D5" s="5"/>
      <c r="E5" s="6">
        <v>1</v>
      </c>
      <c r="F5" s="7">
        <v>175.2</v>
      </c>
      <c r="G5" s="7">
        <v>148.47</v>
      </c>
      <c r="H5" s="5" t="s">
        <v>9</v>
      </c>
      <c r="I5" s="5" t="s">
        <v>10</v>
      </c>
      <c r="J5" s="5" t="s">
        <v>11</v>
      </c>
      <c r="K5" s="8">
        <v>44290</v>
      </c>
    </row>
    <row r="6" spans="1:11" x14ac:dyDescent="0.3">
      <c r="A6" s="4">
        <v>44289</v>
      </c>
      <c r="B6" s="5" t="s">
        <v>21</v>
      </c>
      <c r="C6" s="5" t="str">
        <f t="shared" si="0"/>
        <v>Tire</v>
      </c>
      <c r="D6" s="5"/>
      <c r="E6" s="6">
        <v>2</v>
      </c>
      <c r="F6" s="7">
        <v>264</v>
      </c>
      <c r="G6" s="7">
        <v>223.73</v>
      </c>
      <c r="H6" s="5" t="s">
        <v>14</v>
      </c>
      <c r="I6" s="5" t="s">
        <v>15</v>
      </c>
      <c r="J6" s="5" t="s">
        <v>11</v>
      </c>
      <c r="K6" s="8">
        <v>44291</v>
      </c>
    </row>
    <row r="7" spans="1:11" x14ac:dyDescent="0.3">
      <c r="A7" s="4">
        <v>44289</v>
      </c>
      <c r="B7" s="5" t="s">
        <v>22</v>
      </c>
      <c r="C7" s="5" t="str">
        <f t="shared" si="0"/>
        <v>Tire</v>
      </c>
      <c r="D7" s="5"/>
      <c r="E7" s="6">
        <v>4</v>
      </c>
      <c r="F7" s="7">
        <v>756</v>
      </c>
      <c r="G7" s="7">
        <v>640.67999999999995</v>
      </c>
      <c r="H7" s="5" t="s">
        <v>23</v>
      </c>
      <c r="I7" s="5" t="s">
        <v>15</v>
      </c>
      <c r="J7" s="5" t="s">
        <v>11</v>
      </c>
      <c r="K7" s="8">
        <v>44292</v>
      </c>
    </row>
    <row r="8" spans="1:11" x14ac:dyDescent="0.3">
      <c r="A8" s="4">
        <v>44289</v>
      </c>
      <c r="B8" s="5" t="s">
        <v>24</v>
      </c>
      <c r="C8" s="5" t="str">
        <f t="shared" si="0"/>
        <v>Oil</v>
      </c>
      <c r="D8" s="5"/>
      <c r="E8" s="6">
        <v>4</v>
      </c>
      <c r="F8" s="7">
        <v>75</v>
      </c>
      <c r="G8" s="7">
        <v>63.56</v>
      </c>
      <c r="H8" s="5" t="s">
        <v>25</v>
      </c>
      <c r="I8" s="5" t="s">
        <v>19</v>
      </c>
      <c r="J8" s="5" t="s">
        <v>11</v>
      </c>
      <c r="K8" s="8">
        <v>44293</v>
      </c>
    </row>
    <row r="9" spans="1:11" x14ac:dyDescent="0.3">
      <c r="A9" s="4">
        <v>44289</v>
      </c>
      <c r="B9" s="5" t="s">
        <v>26</v>
      </c>
      <c r="C9" s="5" t="str">
        <f t="shared" si="0"/>
        <v>Oil</v>
      </c>
      <c r="D9" s="5"/>
      <c r="E9" s="6">
        <v>4</v>
      </c>
      <c r="F9" s="7">
        <v>96</v>
      </c>
      <c r="G9" s="7">
        <v>81.349999999999994</v>
      </c>
      <c r="H9" s="5" t="s">
        <v>18</v>
      </c>
      <c r="I9" s="5" t="s">
        <v>19</v>
      </c>
      <c r="J9" s="5" t="s">
        <v>11</v>
      </c>
      <c r="K9" s="8">
        <v>44294</v>
      </c>
    </row>
    <row r="10" spans="1:11" x14ac:dyDescent="0.3">
      <c r="A10" s="4">
        <v>44289</v>
      </c>
      <c r="B10" s="5" t="s">
        <v>27</v>
      </c>
      <c r="C10" s="5" t="str">
        <f t="shared" si="0"/>
        <v>Battery</v>
      </c>
      <c r="D10" s="5"/>
      <c r="E10" s="6">
        <v>1</v>
      </c>
      <c r="F10" s="7">
        <v>203.2</v>
      </c>
      <c r="G10" s="7">
        <v>172.2</v>
      </c>
      <c r="H10" s="5" t="s">
        <v>9</v>
      </c>
      <c r="I10" s="5" t="s">
        <v>10</v>
      </c>
      <c r="J10" s="5" t="s">
        <v>11</v>
      </c>
      <c r="K10" s="8">
        <v>44295</v>
      </c>
    </row>
    <row r="11" spans="1:11" x14ac:dyDescent="0.3">
      <c r="A11" s="4">
        <v>44289</v>
      </c>
      <c r="B11" s="5" t="s">
        <v>28</v>
      </c>
      <c r="C11" s="5" t="str">
        <f t="shared" si="0"/>
        <v>Battery</v>
      </c>
      <c r="D11" s="5"/>
      <c r="E11" s="6">
        <v>1</v>
      </c>
      <c r="F11" s="7">
        <v>387.2</v>
      </c>
      <c r="G11" s="7">
        <v>328.14</v>
      </c>
      <c r="H11" s="5" t="s">
        <v>9</v>
      </c>
      <c r="I11" s="5" t="s">
        <v>10</v>
      </c>
      <c r="J11" s="5" t="s">
        <v>11</v>
      </c>
      <c r="K11" s="8">
        <v>44296</v>
      </c>
    </row>
    <row r="12" spans="1:11" x14ac:dyDescent="0.3">
      <c r="A12" s="4">
        <v>44289</v>
      </c>
      <c r="B12" s="5" t="s">
        <v>29</v>
      </c>
      <c r="C12" s="5" t="str">
        <f t="shared" si="0"/>
        <v>Tire</v>
      </c>
      <c r="D12" s="5"/>
      <c r="E12" s="6">
        <v>4</v>
      </c>
      <c r="F12" s="7">
        <v>1312</v>
      </c>
      <c r="G12" s="7">
        <v>1111.8599999999999</v>
      </c>
      <c r="H12" s="5" t="s">
        <v>14</v>
      </c>
      <c r="I12" s="5" t="s">
        <v>15</v>
      </c>
      <c r="J12" s="5" t="s">
        <v>11</v>
      </c>
      <c r="K12" s="8">
        <v>44297</v>
      </c>
    </row>
    <row r="13" spans="1:11" x14ac:dyDescent="0.3">
      <c r="A13" s="4">
        <v>44291</v>
      </c>
      <c r="B13" s="5" t="s">
        <v>30</v>
      </c>
      <c r="C13" s="5" t="str">
        <f t="shared" si="0"/>
        <v>Tire</v>
      </c>
      <c r="D13" s="5"/>
      <c r="E13" s="6">
        <v>3</v>
      </c>
      <c r="F13" s="7">
        <v>1380</v>
      </c>
      <c r="G13" s="7">
        <v>1169.49</v>
      </c>
      <c r="H13" s="5" t="s">
        <v>14</v>
      </c>
      <c r="I13" s="5" t="s">
        <v>15</v>
      </c>
      <c r="J13" s="5" t="s">
        <v>11</v>
      </c>
      <c r="K13" s="8">
        <v>44298</v>
      </c>
    </row>
    <row r="14" spans="1:11" x14ac:dyDescent="0.3">
      <c r="A14" s="4">
        <v>44291</v>
      </c>
      <c r="B14" s="5" t="s">
        <v>30</v>
      </c>
      <c r="C14" s="5" t="str">
        <f t="shared" si="0"/>
        <v>Tire</v>
      </c>
      <c r="D14" s="5"/>
      <c r="E14" s="6">
        <v>1</v>
      </c>
      <c r="F14" s="7">
        <v>460</v>
      </c>
      <c r="G14" s="7">
        <v>389.83</v>
      </c>
      <c r="H14" s="5" t="s">
        <v>14</v>
      </c>
      <c r="I14" s="5" t="s">
        <v>15</v>
      </c>
      <c r="J14" s="5" t="s">
        <v>11</v>
      </c>
      <c r="K14" s="8">
        <v>44299</v>
      </c>
    </row>
    <row r="15" spans="1:11" x14ac:dyDescent="0.3">
      <c r="A15" s="4">
        <v>44291</v>
      </c>
      <c r="B15" s="5" t="s">
        <v>31</v>
      </c>
      <c r="C15" s="5" t="str">
        <f t="shared" si="0"/>
        <v>Oil</v>
      </c>
      <c r="D15" s="5"/>
      <c r="E15" s="6">
        <v>3</v>
      </c>
      <c r="F15" s="7">
        <v>78.75</v>
      </c>
      <c r="G15" s="7">
        <v>66.739999999999995</v>
      </c>
      <c r="H15" s="5" t="s">
        <v>18</v>
      </c>
      <c r="I15" s="5" t="s">
        <v>19</v>
      </c>
      <c r="J15" s="5" t="s">
        <v>11</v>
      </c>
      <c r="K15" s="8">
        <v>44300</v>
      </c>
    </row>
    <row r="16" spans="1:11" x14ac:dyDescent="0.3">
      <c r="A16" s="4">
        <v>44291</v>
      </c>
      <c r="B16" s="5" t="s">
        <v>32</v>
      </c>
      <c r="C16" s="5" t="str">
        <f t="shared" si="0"/>
        <v>Battery</v>
      </c>
      <c r="D16" s="5"/>
      <c r="E16" s="6">
        <v>1</v>
      </c>
      <c r="F16" s="7">
        <v>151.19999999999999</v>
      </c>
      <c r="G16" s="7">
        <v>128.13999999999999</v>
      </c>
      <c r="H16" s="5" t="s">
        <v>9</v>
      </c>
      <c r="I16" s="5" t="s">
        <v>10</v>
      </c>
      <c r="J16" s="5" t="s">
        <v>11</v>
      </c>
      <c r="K16" s="8">
        <v>44301</v>
      </c>
    </row>
    <row r="17" spans="1:11" x14ac:dyDescent="0.3">
      <c r="A17" s="4">
        <v>44291</v>
      </c>
      <c r="B17" s="5" t="s">
        <v>16</v>
      </c>
      <c r="C17" s="5" t="str">
        <f t="shared" si="0"/>
        <v>Oil</v>
      </c>
      <c r="D17" s="5"/>
      <c r="E17" s="6">
        <v>8</v>
      </c>
      <c r="F17" s="7">
        <v>210</v>
      </c>
      <c r="G17" s="7">
        <v>177.97</v>
      </c>
      <c r="H17" s="5" t="s">
        <v>18</v>
      </c>
      <c r="I17" s="5" t="s">
        <v>19</v>
      </c>
      <c r="J17" s="5" t="s">
        <v>11</v>
      </c>
      <c r="K17" s="8">
        <v>44302</v>
      </c>
    </row>
    <row r="18" spans="1:11" x14ac:dyDescent="0.3">
      <c r="A18" s="4">
        <v>44291</v>
      </c>
      <c r="B18" s="5" t="s">
        <v>33</v>
      </c>
      <c r="C18" s="5" t="str">
        <f t="shared" si="0"/>
        <v>Tire</v>
      </c>
      <c r="D18" s="5"/>
      <c r="E18" s="6">
        <v>4</v>
      </c>
      <c r="F18" s="7">
        <v>1200</v>
      </c>
      <c r="G18" s="7">
        <v>1016.95</v>
      </c>
      <c r="H18" s="5" t="s">
        <v>14</v>
      </c>
      <c r="I18" s="5" t="s">
        <v>15</v>
      </c>
      <c r="J18" s="5" t="s">
        <v>11</v>
      </c>
      <c r="K18" s="8">
        <v>44303</v>
      </c>
    </row>
    <row r="19" spans="1:11" x14ac:dyDescent="0.3">
      <c r="A19" s="4">
        <v>44291</v>
      </c>
      <c r="B19" s="5" t="s">
        <v>34</v>
      </c>
      <c r="C19" s="5" t="str">
        <f t="shared" si="0"/>
        <v>Tire</v>
      </c>
      <c r="D19" s="5"/>
      <c r="E19" s="6">
        <v>2</v>
      </c>
      <c r="F19" s="7">
        <v>369</v>
      </c>
      <c r="G19" s="7">
        <v>312.70999999999998</v>
      </c>
      <c r="H19" s="5" t="s">
        <v>23</v>
      </c>
      <c r="I19" s="5" t="s">
        <v>15</v>
      </c>
      <c r="J19" s="5" t="s">
        <v>11</v>
      </c>
      <c r="K19" s="8">
        <v>44304</v>
      </c>
    </row>
    <row r="20" spans="1:11" x14ac:dyDescent="0.3">
      <c r="A20" s="4">
        <v>44292</v>
      </c>
      <c r="B20" s="5" t="s">
        <v>35</v>
      </c>
      <c r="C20" s="5" t="str">
        <f t="shared" si="0"/>
        <v>Tire</v>
      </c>
      <c r="D20" s="5"/>
      <c r="E20" s="6">
        <v>2</v>
      </c>
      <c r="F20" s="7">
        <v>880</v>
      </c>
      <c r="G20" s="7">
        <v>745.76</v>
      </c>
      <c r="H20" s="5" t="s">
        <v>14</v>
      </c>
      <c r="I20" s="5" t="s">
        <v>15</v>
      </c>
      <c r="J20" s="5" t="s">
        <v>11</v>
      </c>
      <c r="K20" s="8">
        <v>44305</v>
      </c>
    </row>
    <row r="21" spans="1:11" x14ac:dyDescent="0.3">
      <c r="A21" s="4">
        <v>44292</v>
      </c>
      <c r="B21" s="5" t="s">
        <v>36</v>
      </c>
      <c r="C21" s="5" t="str">
        <f t="shared" si="0"/>
        <v>Tire</v>
      </c>
      <c r="D21" s="5"/>
      <c r="E21" s="6">
        <v>2</v>
      </c>
      <c r="F21" s="7">
        <v>304</v>
      </c>
      <c r="G21" s="7">
        <v>257.63</v>
      </c>
      <c r="H21" s="5" t="s">
        <v>14</v>
      </c>
      <c r="I21" s="5" t="s">
        <v>15</v>
      </c>
      <c r="J21" s="5" t="s">
        <v>11</v>
      </c>
      <c r="K21" s="8">
        <v>44306</v>
      </c>
    </row>
    <row r="22" spans="1:11" x14ac:dyDescent="0.3">
      <c r="A22" s="4">
        <v>44292</v>
      </c>
      <c r="B22" s="5" t="s">
        <v>37</v>
      </c>
      <c r="C22" s="5" t="str">
        <f t="shared" si="0"/>
        <v>Tire</v>
      </c>
      <c r="D22" s="5"/>
      <c r="E22" s="6">
        <v>4</v>
      </c>
      <c r="F22" s="7">
        <v>1408</v>
      </c>
      <c r="G22" s="7">
        <v>1193.22</v>
      </c>
      <c r="H22" s="5" t="s">
        <v>14</v>
      </c>
      <c r="I22" s="5" t="s">
        <v>15</v>
      </c>
      <c r="J22" s="5" t="s">
        <v>11</v>
      </c>
      <c r="K22" s="8">
        <v>44307</v>
      </c>
    </row>
    <row r="23" spans="1:11" x14ac:dyDescent="0.3">
      <c r="A23" s="4">
        <v>44292</v>
      </c>
      <c r="B23" s="5" t="s">
        <v>36</v>
      </c>
      <c r="C23" s="5" t="str">
        <f t="shared" si="0"/>
        <v>Tire</v>
      </c>
      <c r="D23" s="5"/>
      <c r="E23" s="6">
        <v>2</v>
      </c>
      <c r="F23" s="7">
        <v>304</v>
      </c>
      <c r="G23" s="7">
        <v>257.63</v>
      </c>
      <c r="H23" s="5" t="s">
        <v>14</v>
      </c>
      <c r="I23" s="5" t="s">
        <v>15</v>
      </c>
      <c r="J23" s="5" t="s">
        <v>11</v>
      </c>
      <c r="K23" s="8">
        <v>44308</v>
      </c>
    </row>
    <row r="24" spans="1:11" x14ac:dyDescent="0.3">
      <c r="A24" s="4">
        <v>44292</v>
      </c>
      <c r="B24" s="5" t="s">
        <v>38</v>
      </c>
      <c r="C24" s="5" t="str">
        <f t="shared" si="0"/>
        <v>Tire</v>
      </c>
      <c r="D24" s="5"/>
      <c r="E24" s="6">
        <v>4</v>
      </c>
      <c r="F24" s="7">
        <v>1536</v>
      </c>
      <c r="G24" s="7">
        <v>1301.69</v>
      </c>
      <c r="H24" s="5" t="s">
        <v>14</v>
      </c>
      <c r="I24" s="5" t="s">
        <v>15</v>
      </c>
      <c r="J24" s="5" t="s">
        <v>11</v>
      </c>
      <c r="K24" s="8">
        <v>44309</v>
      </c>
    </row>
    <row r="25" spans="1:11" x14ac:dyDescent="0.3">
      <c r="A25" s="4">
        <v>44292</v>
      </c>
      <c r="B25" s="5" t="s">
        <v>39</v>
      </c>
      <c r="C25" s="5" t="str">
        <f t="shared" si="0"/>
        <v>Tire</v>
      </c>
      <c r="D25" s="5"/>
      <c r="E25" s="6">
        <v>4</v>
      </c>
      <c r="F25" s="7">
        <v>1904</v>
      </c>
      <c r="G25" s="7">
        <v>1613.56</v>
      </c>
      <c r="H25" s="5" t="s">
        <v>14</v>
      </c>
      <c r="I25" s="5" t="s">
        <v>15</v>
      </c>
      <c r="J25" s="5" t="s">
        <v>11</v>
      </c>
      <c r="K25" s="8">
        <v>44310</v>
      </c>
    </row>
    <row r="26" spans="1:11" x14ac:dyDescent="0.3">
      <c r="A26" s="4">
        <v>44292</v>
      </c>
      <c r="B26" s="5" t="s">
        <v>40</v>
      </c>
      <c r="C26" s="5" t="str">
        <f t="shared" si="0"/>
        <v>Oil</v>
      </c>
      <c r="D26" s="5"/>
      <c r="E26" s="6">
        <v>8</v>
      </c>
      <c r="F26" s="7">
        <v>228</v>
      </c>
      <c r="G26" s="7">
        <v>193.22</v>
      </c>
      <c r="H26" s="5" t="s">
        <v>18</v>
      </c>
      <c r="I26" s="5" t="s">
        <v>19</v>
      </c>
      <c r="J26" s="5" t="s">
        <v>11</v>
      </c>
      <c r="K26" s="8">
        <v>44311</v>
      </c>
    </row>
    <row r="27" spans="1:11" x14ac:dyDescent="0.3">
      <c r="A27" s="4">
        <v>44292</v>
      </c>
      <c r="B27" s="5" t="s">
        <v>41</v>
      </c>
      <c r="C27" s="5" t="str">
        <f t="shared" si="0"/>
        <v>Oil</v>
      </c>
      <c r="D27" s="5"/>
      <c r="E27" s="6">
        <v>1</v>
      </c>
      <c r="F27" s="7">
        <v>30</v>
      </c>
      <c r="G27" s="7">
        <v>25.42</v>
      </c>
      <c r="H27" s="5" t="s">
        <v>18</v>
      </c>
      <c r="I27" s="5" t="s">
        <v>19</v>
      </c>
      <c r="J27" s="5" t="s">
        <v>11</v>
      </c>
      <c r="K27" s="8">
        <v>44312</v>
      </c>
    </row>
    <row r="28" spans="1:11" x14ac:dyDescent="0.3">
      <c r="A28" s="4">
        <v>44292</v>
      </c>
      <c r="B28" s="5" t="s">
        <v>42</v>
      </c>
      <c r="C28" s="5" t="s">
        <v>43</v>
      </c>
      <c r="D28" s="5"/>
      <c r="E28" s="6">
        <v>4</v>
      </c>
      <c r="F28" s="7">
        <v>1026</v>
      </c>
      <c r="G28" s="7">
        <v>869.49</v>
      </c>
      <c r="H28" s="5" t="s">
        <v>44</v>
      </c>
      <c r="I28" s="5" t="s">
        <v>15</v>
      </c>
      <c r="J28" s="5" t="s">
        <v>11</v>
      </c>
      <c r="K28" s="8">
        <v>44313</v>
      </c>
    </row>
    <row r="29" spans="1:11" x14ac:dyDescent="0.3">
      <c r="A29" s="4">
        <v>44292</v>
      </c>
      <c r="B29" s="5" t="s">
        <v>45</v>
      </c>
      <c r="C29" s="5" t="str">
        <f t="shared" si="0"/>
        <v>Tire</v>
      </c>
      <c r="D29" s="5"/>
      <c r="E29" s="6">
        <v>4</v>
      </c>
      <c r="F29" s="7">
        <v>1120</v>
      </c>
      <c r="G29" s="7">
        <v>949.15</v>
      </c>
      <c r="H29" s="5" t="s">
        <v>14</v>
      </c>
      <c r="I29" s="5" t="s">
        <v>15</v>
      </c>
      <c r="J29" s="5" t="s">
        <v>11</v>
      </c>
      <c r="K29" s="8">
        <v>44314</v>
      </c>
    </row>
    <row r="30" spans="1:11" x14ac:dyDescent="0.3">
      <c r="A30" s="4">
        <v>44292</v>
      </c>
      <c r="B30" s="5" t="s">
        <v>46</v>
      </c>
      <c r="C30" s="5" t="str">
        <f t="shared" si="0"/>
        <v>Tire</v>
      </c>
      <c r="D30" s="5"/>
      <c r="E30" s="6">
        <v>4</v>
      </c>
      <c r="F30" s="7">
        <v>576</v>
      </c>
      <c r="G30" s="7">
        <v>488.14</v>
      </c>
      <c r="H30" s="5" t="s">
        <v>44</v>
      </c>
      <c r="I30" s="5" t="s">
        <v>15</v>
      </c>
      <c r="J30" s="5" t="s">
        <v>11</v>
      </c>
      <c r="K30" s="8">
        <v>44315</v>
      </c>
    </row>
    <row r="31" spans="1:11" x14ac:dyDescent="0.3">
      <c r="A31" s="4">
        <v>44292</v>
      </c>
      <c r="B31" s="5" t="s">
        <v>47</v>
      </c>
      <c r="C31" s="5" t="str">
        <f t="shared" si="0"/>
        <v>Tire</v>
      </c>
      <c r="D31" s="5"/>
      <c r="E31" s="6">
        <v>2</v>
      </c>
      <c r="F31" s="7">
        <v>416</v>
      </c>
      <c r="G31" s="7">
        <v>352.54</v>
      </c>
      <c r="H31" s="5" t="s">
        <v>14</v>
      </c>
      <c r="I31" s="5" t="s">
        <v>15</v>
      </c>
      <c r="J31" s="5" t="s">
        <v>11</v>
      </c>
      <c r="K31" s="8">
        <v>44316</v>
      </c>
    </row>
    <row r="32" spans="1:11" x14ac:dyDescent="0.3">
      <c r="A32" s="4">
        <v>44292</v>
      </c>
      <c r="B32" s="5" t="s">
        <v>48</v>
      </c>
      <c r="C32" s="5" t="str">
        <f t="shared" si="0"/>
        <v>Tire</v>
      </c>
      <c r="D32" s="5"/>
      <c r="E32" s="6">
        <v>1</v>
      </c>
      <c r="F32" s="7">
        <v>184.5</v>
      </c>
      <c r="G32" s="7">
        <v>156.36000000000001</v>
      </c>
      <c r="H32" s="5" t="s">
        <v>44</v>
      </c>
      <c r="I32" s="5" t="s">
        <v>15</v>
      </c>
      <c r="J32" s="5" t="s">
        <v>11</v>
      </c>
      <c r="K32" s="8"/>
    </row>
    <row r="33" spans="1:11" x14ac:dyDescent="0.3">
      <c r="A33" s="4">
        <v>44292</v>
      </c>
      <c r="B33" s="5" t="s">
        <v>49</v>
      </c>
      <c r="C33" s="5" t="str">
        <f t="shared" si="0"/>
        <v>Battery</v>
      </c>
      <c r="D33" s="5"/>
      <c r="E33" s="6">
        <v>1</v>
      </c>
      <c r="F33" s="7">
        <v>95.2</v>
      </c>
      <c r="G33" s="7">
        <v>80.680000000000007</v>
      </c>
      <c r="H33" s="5" t="s">
        <v>9</v>
      </c>
      <c r="I33" s="5" t="s">
        <v>10</v>
      </c>
      <c r="J33" s="5" t="s">
        <v>11</v>
      </c>
      <c r="K33" s="8"/>
    </row>
    <row r="34" spans="1:11" x14ac:dyDescent="0.3">
      <c r="A34" s="4">
        <v>44292</v>
      </c>
      <c r="B34" s="5" t="s">
        <v>42</v>
      </c>
      <c r="C34" s="5" t="s">
        <v>43</v>
      </c>
      <c r="D34" s="5"/>
      <c r="E34" s="6">
        <v>4</v>
      </c>
      <c r="F34" s="7">
        <v>1026</v>
      </c>
      <c r="G34" s="7">
        <v>869.49</v>
      </c>
      <c r="H34" s="5" t="s">
        <v>44</v>
      </c>
      <c r="I34" s="5" t="s">
        <v>15</v>
      </c>
      <c r="J34" s="5" t="s">
        <v>11</v>
      </c>
      <c r="K34" s="8"/>
    </row>
    <row r="35" spans="1:11" x14ac:dyDescent="0.3">
      <c r="A35" s="4">
        <v>44293</v>
      </c>
      <c r="B35" s="5" t="s">
        <v>50</v>
      </c>
      <c r="C35" s="5" t="str">
        <f t="shared" si="0"/>
        <v>Oil</v>
      </c>
      <c r="D35" s="5"/>
      <c r="E35" s="6">
        <v>4</v>
      </c>
      <c r="F35" s="7">
        <v>105</v>
      </c>
      <c r="G35" s="7">
        <v>88.98</v>
      </c>
      <c r="H35" s="5" t="s">
        <v>18</v>
      </c>
      <c r="I35" s="5" t="s">
        <v>19</v>
      </c>
      <c r="J35" s="5" t="s">
        <v>11</v>
      </c>
    </row>
    <row r="36" spans="1:11" x14ac:dyDescent="0.3">
      <c r="A36" s="4">
        <v>44293</v>
      </c>
      <c r="B36" s="5" t="s">
        <v>51</v>
      </c>
      <c r="C36" s="5" t="str">
        <f t="shared" si="0"/>
        <v>Oil</v>
      </c>
      <c r="D36" s="5"/>
      <c r="E36" s="6">
        <v>8</v>
      </c>
      <c r="F36" s="7">
        <v>192</v>
      </c>
      <c r="G36" s="7">
        <v>162.71</v>
      </c>
      <c r="H36" s="5" t="s">
        <v>18</v>
      </c>
      <c r="I36" s="5" t="s">
        <v>19</v>
      </c>
      <c r="J36" s="5" t="s">
        <v>11</v>
      </c>
    </row>
    <row r="37" spans="1:11" x14ac:dyDescent="0.3">
      <c r="A37" s="4">
        <v>44293</v>
      </c>
      <c r="B37" s="5" t="s">
        <v>52</v>
      </c>
      <c r="C37" s="5" t="str">
        <f t="shared" si="0"/>
        <v>Oil</v>
      </c>
      <c r="D37" s="5"/>
      <c r="E37" s="6">
        <v>3</v>
      </c>
      <c r="F37" s="7">
        <v>56.25</v>
      </c>
      <c r="G37" s="7">
        <v>47.67</v>
      </c>
      <c r="H37" s="5" t="s">
        <v>18</v>
      </c>
      <c r="I37" s="5" t="s">
        <v>19</v>
      </c>
      <c r="J37" s="5" t="s">
        <v>11</v>
      </c>
    </row>
    <row r="38" spans="1:11" x14ac:dyDescent="0.3">
      <c r="A38" s="4">
        <v>44293</v>
      </c>
      <c r="B38" s="5" t="s">
        <v>53</v>
      </c>
      <c r="C38" s="5" t="str">
        <f t="shared" si="0"/>
        <v>Tire</v>
      </c>
      <c r="D38" s="5"/>
      <c r="E38" s="6">
        <v>4</v>
      </c>
      <c r="F38" s="7">
        <v>704</v>
      </c>
      <c r="G38" s="7">
        <v>596.61</v>
      </c>
      <c r="H38" s="5" t="s">
        <v>14</v>
      </c>
      <c r="I38" s="5" t="s">
        <v>15</v>
      </c>
      <c r="J38" s="5" t="s">
        <v>11</v>
      </c>
    </row>
    <row r="39" spans="1:11" x14ac:dyDescent="0.3">
      <c r="A39" s="4">
        <v>44293</v>
      </c>
      <c r="B39" s="5" t="s">
        <v>54</v>
      </c>
      <c r="C39" s="5" t="str">
        <f t="shared" si="0"/>
        <v>Oil</v>
      </c>
      <c r="D39" s="5"/>
      <c r="E39" s="6">
        <v>1</v>
      </c>
      <c r="F39" s="7">
        <v>27.75</v>
      </c>
      <c r="G39" s="7">
        <v>23.52</v>
      </c>
      <c r="H39" s="5" t="s">
        <v>18</v>
      </c>
      <c r="I39" s="5" t="s">
        <v>19</v>
      </c>
      <c r="J39" s="5" t="s">
        <v>11</v>
      </c>
    </row>
    <row r="40" spans="1:11" x14ac:dyDescent="0.3">
      <c r="A40" s="4">
        <v>44294</v>
      </c>
      <c r="B40" s="5" t="s">
        <v>55</v>
      </c>
      <c r="C40" s="5" t="str">
        <f t="shared" si="0"/>
        <v>Tire</v>
      </c>
      <c r="D40" s="5"/>
      <c r="E40" s="6">
        <v>2</v>
      </c>
      <c r="F40" s="7">
        <v>342</v>
      </c>
      <c r="G40" s="7">
        <v>289.83</v>
      </c>
      <c r="H40" s="5" t="s">
        <v>23</v>
      </c>
      <c r="I40" s="5" t="s">
        <v>15</v>
      </c>
      <c r="J40" s="5" t="s">
        <v>11</v>
      </c>
    </row>
    <row r="41" spans="1:11" x14ac:dyDescent="0.3">
      <c r="A41" s="4">
        <v>44294</v>
      </c>
      <c r="B41" s="5" t="s">
        <v>56</v>
      </c>
      <c r="C41" s="5" t="str">
        <f t="shared" si="0"/>
        <v>Tire</v>
      </c>
      <c r="D41" s="5"/>
      <c r="E41" s="6">
        <v>2</v>
      </c>
      <c r="F41" s="7">
        <v>936</v>
      </c>
      <c r="G41" s="7">
        <v>793.22</v>
      </c>
      <c r="H41" s="5" t="s">
        <v>14</v>
      </c>
      <c r="I41" s="5" t="s">
        <v>15</v>
      </c>
      <c r="J41" s="5" t="s">
        <v>11</v>
      </c>
    </row>
    <row r="42" spans="1:11" x14ac:dyDescent="0.3">
      <c r="A42" s="4">
        <v>44294</v>
      </c>
      <c r="B42" s="5" t="s">
        <v>53</v>
      </c>
      <c r="C42" s="5" t="str">
        <f t="shared" si="0"/>
        <v>Tire</v>
      </c>
      <c r="D42" s="5"/>
      <c r="E42" s="6">
        <v>4</v>
      </c>
      <c r="F42" s="7">
        <v>704</v>
      </c>
      <c r="G42" s="7">
        <v>596.61</v>
      </c>
      <c r="H42" s="5" t="s">
        <v>14</v>
      </c>
      <c r="I42" s="5" t="s">
        <v>15</v>
      </c>
      <c r="J42" s="5" t="s">
        <v>11</v>
      </c>
    </row>
    <row r="43" spans="1:11" x14ac:dyDescent="0.3">
      <c r="A43" s="4">
        <v>44294</v>
      </c>
      <c r="B43" s="5" t="s">
        <v>57</v>
      </c>
      <c r="C43" s="5" t="str">
        <f t="shared" si="0"/>
        <v>Tire</v>
      </c>
      <c r="D43" s="5"/>
      <c r="E43" s="6">
        <v>4</v>
      </c>
      <c r="F43" s="7">
        <v>1440</v>
      </c>
      <c r="G43" s="7">
        <v>1220.3399999999999</v>
      </c>
      <c r="H43" s="5" t="s">
        <v>58</v>
      </c>
      <c r="I43" s="5" t="s">
        <v>15</v>
      </c>
      <c r="J43" s="5" t="s">
        <v>11</v>
      </c>
    </row>
    <row r="44" spans="1:11" x14ac:dyDescent="0.3">
      <c r="A44" s="4">
        <v>44294</v>
      </c>
      <c r="B44" s="5" t="s">
        <v>59</v>
      </c>
      <c r="C44" s="5" t="str">
        <f t="shared" si="0"/>
        <v>Oil</v>
      </c>
      <c r="D44" s="5"/>
      <c r="E44" s="6">
        <v>7</v>
      </c>
      <c r="F44" s="7">
        <v>262.5</v>
      </c>
      <c r="G44" s="7">
        <v>222.46</v>
      </c>
      <c r="H44" s="5" t="s">
        <v>25</v>
      </c>
      <c r="I44" s="5" t="s">
        <v>19</v>
      </c>
      <c r="J44" s="5" t="s">
        <v>11</v>
      </c>
    </row>
    <row r="45" spans="1:11" x14ac:dyDescent="0.3">
      <c r="A45" s="4">
        <v>44294</v>
      </c>
      <c r="B45" s="5" t="s">
        <v>16</v>
      </c>
      <c r="C45" s="5" t="str">
        <f t="shared" si="0"/>
        <v>Oil</v>
      </c>
      <c r="D45" s="5"/>
      <c r="E45" s="6">
        <v>4</v>
      </c>
      <c r="F45" s="7">
        <v>105</v>
      </c>
      <c r="G45" s="7">
        <v>88.98</v>
      </c>
      <c r="H45" s="5" t="s">
        <v>18</v>
      </c>
      <c r="I45" s="5" t="s">
        <v>19</v>
      </c>
      <c r="J45" s="5" t="s">
        <v>11</v>
      </c>
    </row>
    <row r="46" spans="1:11" x14ac:dyDescent="0.3">
      <c r="A46" s="4">
        <v>44294</v>
      </c>
      <c r="B46" s="5" t="s">
        <v>54</v>
      </c>
      <c r="C46" s="5" t="str">
        <f t="shared" si="0"/>
        <v>Oil</v>
      </c>
      <c r="D46" s="5"/>
      <c r="E46" s="6">
        <v>1</v>
      </c>
      <c r="F46" s="7">
        <v>27.75</v>
      </c>
      <c r="G46" s="7">
        <v>23.52</v>
      </c>
      <c r="H46" s="5" t="s">
        <v>18</v>
      </c>
      <c r="I46" s="5" t="s">
        <v>19</v>
      </c>
      <c r="J46" s="5" t="s">
        <v>11</v>
      </c>
    </row>
    <row r="47" spans="1:11" x14ac:dyDescent="0.3">
      <c r="A47" s="4">
        <v>44294</v>
      </c>
      <c r="B47" s="5" t="s">
        <v>60</v>
      </c>
      <c r="C47" s="5" t="str">
        <f t="shared" si="0"/>
        <v>Tire</v>
      </c>
      <c r="D47" s="5"/>
      <c r="E47" s="6">
        <v>4</v>
      </c>
      <c r="F47" s="7">
        <v>976</v>
      </c>
      <c r="G47" s="7">
        <v>827.12</v>
      </c>
      <c r="H47" s="5" t="s">
        <v>14</v>
      </c>
      <c r="I47" s="5" t="s">
        <v>15</v>
      </c>
      <c r="J47" s="5" t="s">
        <v>11</v>
      </c>
    </row>
    <row r="48" spans="1:11" x14ac:dyDescent="0.3">
      <c r="A48" s="4">
        <v>44294</v>
      </c>
      <c r="B48" s="5" t="s">
        <v>7</v>
      </c>
      <c r="C48" s="5" t="str">
        <f t="shared" si="0"/>
        <v>Battery</v>
      </c>
      <c r="D48" s="5"/>
      <c r="E48" s="6">
        <v>1</v>
      </c>
      <c r="F48" s="7">
        <v>219.2</v>
      </c>
      <c r="G48" s="7">
        <v>185.76</v>
      </c>
      <c r="H48" s="5" t="s">
        <v>9</v>
      </c>
      <c r="I48" s="5" t="s">
        <v>10</v>
      </c>
      <c r="J48" s="5" t="s">
        <v>11</v>
      </c>
    </row>
    <row r="49" spans="1:10" x14ac:dyDescent="0.3">
      <c r="A49" s="4">
        <v>44294</v>
      </c>
      <c r="B49" s="5" t="s">
        <v>7</v>
      </c>
      <c r="C49" s="5" t="str">
        <f t="shared" si="0"/>
        <v>Battery</v>
      </c>
      <c r="D49" s="5"/>
      <c r="E49" s="6">
        <v>1</v>
      </c>
      <c r="F49" s="7">
        <v>219.2</v>
      </c>
      <c r="G49" s="7">
        <v>185.76</v>
      </c>
      <c r="H49" s="5" t="s">
        <v>9</v>
      </c>
      <c r="I49" s="5" t="s">
        <v>10</v>
      </c>
      <c r="J49" s="5" t="s">
        <v>11</v>
      </c>
    </row>
    <row r="50" spans="1:10" x14ac:dyDescent="0.3">
      <c r="A50" s="4">
        <v>44294</v>
      </c>
      <c r="B50" s="5" t="s">
        <v>61</v>
      </c>
      <c r="C50" s="5" t="str">
        <f t="shared" si="0"/>
        <v>Tire</v>
      </c>
      <c r="D50" s="5"/>
      <c r="E50" s="6">
        <v>4</v>
      </c>
      <c r="F50" s="7">
        <v>522</v>
      </c>
      <c r="G50" s="7">
        <v>442.37</v>
      </c>
      <c r="H50" s="5" t="s">
        <v>62</v>
      </c>
      <c r="I50" s="5" t="s">
        <v>15</v>
      </c>
      <c r="J50" s="5" t="s">
        <v>11</v>
      </c>
    </row>
    <row r="51" spans="1:10" x14ac:dyDescent="0.3">
      <c r="A51" s="4">
        <v>44295</v>
      </c>
      <c r="B51" s="5" t="s">
        <v>16</v>
      </c>
      <c r="C51" s="5" t="str">
        <f t="shared" si="0"/>
        <v>Oil</v>
      </c>
      <c r="D51" s="5"/>
      <c r="E51" s="6">
        <v>16</v>
      </c>
      <c r="F51" s="7">
        <v>420</v>
      </c>
      <c r="G51" s="7">
        <v>355.93</v>
      </c>
      <c r="H51" s="5" t="s">
        <v>18</v>
      </c>
      <c r="I51" s="5" t="s">
        <v>19</v>
      </c>
      <c r="J51" s="5" t="s">
        <v>11</v>
      </c>
    </row>
    <row r="52" spans="1:10" x14ac:dyDescent="0.3">
      <c r="A52" s="4">
        <v>44295</v>
      </c>
      <c r="B52" s="5" t="s">
        <v>63</v>
      </c>
      <c r="C52" s="5" t="str">
        <f t="shared" si="0"/>
        <v>Oil</v>
      </c>
      <c r="D52" s="5"/>
      <c r="E52" s="6">
        <v>16</v>
      </c>
      <c r="F52" s="7">
        <v>228</v>
      </c>
      <c r="G52" s="7">
        <v>193.22</v>
      </c>
      <c r="H52" s="5" t="s">
        <v>25</v>
      </c>
      <c r="I52" s="5" t="s">
        <v>19</v>
      </c>
      <c r="J52" s="5" t="s">
        <v>11</v>
      </c>
    </row>
    <row r="53" spans="1:10" x14ac:dyDescent="0.3">
      <c r="A53" s="4">
        <v>44295</v>
      </c>
      <c r="B53" s="5" t="s">
        <v>64</v>
      </c>
      <c r="C53" s="5" t="str">
        <f t="shared" si="0"/>
        <v>Oil</v>
      </c>
      <c r="D53" s="5"/>
      <c r="E53" s="6">
        <v>1</v>
      </c>
      <c r="F53" s="7">
        <v>31.5</v>
      </c>
      <c r="G53" s="7">
        <v>26.69</v>
      </c>
      <c r="H53" s="5" t="s">
        <v>18</v>
      </c>
      <c r="I53" s="5" t="s">
        <v>19</v>
      </c>
      <c r="J53" s="5" t="s">
        <v>11</v>
      </c>
    </row>
    <row r="54" spans="1:10" x14ac:dyDescent="0.3">
      <c r="A54" s="4">
        <v>44295</v>
      </c>
      <c r="B54" s="5" t="s">
        <v>65</v>
      </c>
      <c r="C54" s="5" t="str">
        <f t="shared" si="0"/>
        <v>Oil</v>
      </c>
      <c r="D54" s="5"/>
      <c r="E54" s="6">
        <v>5</v>
      </c>
      <c r="F54" s="7">
        <v>112.5</v>
      </c>
      <c r="G54" s="7">
        <v>95.33</v>
      </c>
      <c r="H54" s="5" t="s">
        <v>25</v>
      </c>
      <c r="I54" s="5" t="s">
        <v>19</v>
      </c>
      <c r="J54" s="5" t="s">
        <v>11</v>
      </c>
    </row>
    <row r="55" spans="1:10" x14ac:dyDescent="0.3">
      <c r="A55" s="4">
        <v>44296</v>
      </c>
      <c r="B55" s="5" t="s">
        <v>63</v>
      </c>
      <c r="C55" s="5" t="str">
        <f t="shared" si="0"/>
        <v>Oil</v>
      </c>
      <c r="D55" s="5"/>
      <c r="E55" s="6">
        <v>4</v>
      </c>
      <c r="F55" s="7">
        <v>57</v>
      </c>
      <c r="G55" s="7">
        <v>48.31</v>
      </c>
      <c r="H55" s="5" t="s">
        <v>25</v>
      </c>
      <c r="I55" s="5" t="s">
        <v>19</v>
      </c>
      <c r="J55" s="5" t="s">
        <v>11</v>
      </c>
    </row>
    <row r="56" spans="1:10" x14ac:dyDescent="0.3">
      <c r="A56" s="4">
        <v>44296</v>
      </c>
      <c r="B56" s="5" t="s">
        <v>66</v>
      </c>
      <c r="C56" s="5" t="str">
        <f t="shared" si="0"/>
        <v>Tire</v>
      </c>
      <c r="D56" s="5"/>
      <c r="E56" s="6">
        <v>4</v>
      </c>
      <c r="F56" s="7">
        <v>864</v>
      </c>
      <c r="G56" s="7">
        <v>732.2</v>
      </c>
      <c r="H56" s="5" t="s">
        <v>23</v>
      </c>
      <c r="I56" s="5" t="s">
        <v>15</v>
      </c>
      <c r="J56" s="5" t="s">
        <v>11</v>
      </c>
    </row>
    <row r="57" spans="1:10" x14ac:dyDescent="0.3">
      <c r="A57" s="4">
        <v>44296</v>
      </c>
      <c r="B57" s="5" t="s">
        <v>67</v>
      </c>
      <c r="C57" s="5" t="str">
        <f t="shared" si="0"/>
        <v>Oil</v>
      </c>
      <c r="D57" s="5"/>
      <c r="E57" s="6">
        <v>5</v>
      </c>
      <c r="F57" s="7">
        <v>63.75</v>
      </c>
      <c r="G57" s="7">
        <v>54.02</v>
      </c>
      <c r="H57" s="5" t="s">
        <v>25</v>
      </c>
      <c r="I57" s="5" t="s">
        <v>19</v>
      </c>
      <c r="J57" s="5" t="s">
        <v>11</v>
      </c>
    </row>
    <row r="58" spans="1:10" x14ac:dyDescent="0.3">
      <c r="A58" s="4">
        <v>44296</v>
      </c>
      <c r="B58" s="5" t="s">
        <v>68</v>
      </c>
      <c r="C58" s="5" t="str">
        <f t="shared" si="0"/>
        <v>Oil</v>
      </c>
      <c r="D58" s="5"/>
      <c r="E58" s="6">
        <v>4</v>
      </c>
      <c r="F58" s="7">
        <v>111</v>
      </c>
      <c r="G58" s="7">
        <v>94.07</v>
      </c>
      <c r="H58" s="5" t="s">
        <v>18</v>
      </c>
      <c r="I58" s="5" t="s">
        <v>19</v>
      </c>
      <c r="J58" s="5" t="s">
        <v>11</v>
      </c>
    </row>
    <row r="59" spans="1:10" x14ac:dyDescent="0.3">
      <c r="A59" s="4">
        <v>44298</v>
      </c>
      <c r="B59" s="5" t="s">
        <v>69</v>
      </c>
      <c r="C59" s="5" t="str">
        <f t="shared" si="0"/>
        <v>Oil</v>
      </c>
      <c r="D59" s="5"/>
      <c r="E59" s="6">
        <v>8</v>
      </c>
      <c r="F59" s="7">
        <v>210</v>
      </c>
      <c r="G59" s="7">
        <v>177.97</v>
      </c>
      <c r="H59" s="5" t="s">
        <v>25</v>
      </c>
      <c r="I59" s="5" t="s">
        <v>19</v>
      </c>
      <c r="J59" s="5" t="s">
        <v>11</v>
      </c>
    </row>
    <row r="60" spans="1:10" x14ac:dyDescent="0.3">
      <c r="A60" s="4">
        <v>44298</v>
      </c>
      <c r="B60" s="5" t="s">
        <v>70</v>
      </c>
      <c r="C60" s="5" t="str">
        <f t="shared" si="0"/>
        <v>Oil</v>
      </c>
      <c r="D60" s="5"/>
      <c r="E60" s="6">
        <v>2</v>
      </c>
      <c r="F60" s="7">
        <v>60</v>
      </c>
      <c r="G60" s="7">
        <v>50.85</v>
      </c>
      <c r="H60" s="5" t="s">
        <v>71</v>
      </c>
      <c r="I60" s="5" t="s">
        <v>19</v>
      </c>
      <c r="J60" s="5" t="s">
        <v>11</v>
      </c>
    </row>
    <row r="61" spans="1:10" x14ac:dyDescent="0.3">
      <c r="A61" s="4">
        <v>44298</v>
      </c>
      <c r="B61" s="5" t="s">
        <v>72</v>
      </c>
      <c r="C61" s="5" t="str">
        <f t="shared" si="0"/>
        <v>Oil</v>
      </c>
      <c r="D61" s="5"/>
      <c r="E61" s="6">
        <v>4</v>
      </c>
      <c r="F61" s="7">
        <v>69</v>
      </c>
      <c r="G61" s="7">
        <v>58.47</v>
      </c>
      <c r="H61" s="5" t="s">
        <v>18</v>
      </c>
      <c r="I61" s="5" t="s">
        <v>19</v>
      </c>
      <c r="J61" s="5" t="s">
        <v>11</v>
      </c>
    </row>
    <row r="62" spans="1:10" x14ac:dyDescent="0.3">
      <c r="A62" s="4">
        <v>44298</v>
      </c>
      <c r="B62" s="5" t="s">
        <v>67</v>
      </c>
      <c r="C62" s="5" t="str">
        <f t="shared" si="0"/>
        <v>Oil</v>
      </c>
      <c r="D62" s="5"/>
      <c r="E62" s="6">
        <v>8</v>
      </c>
      <c r="F62" s="7">
        <v>102</v>
      </c>
      <c r="G62" s="7">
        <v>86.44</v>
      </c>
      <c r="H62" s="5" t="s">
        <v>25</v>
      </c>
      <c r="I62" s="5" t="s">
        <v>19</v>
      </c>
      <c r="J62" s="5" t="s">
        <v>11</v>
      </c>
    </row>
    <row r="63" spans="1:10" x14ac:dyDescent="0.3">
      <c r="A63" s="4">
        <v>44299</v>
      </c>
      <c r="B63" s="5" t="s">
        <v>73</v>
      </c>
      <c r="C63" s="5" t="str">
        <f t="shared" si="0"/>
        <v>Oil</v>
      </c>
      <c r="D63" s="5"/>
      <c r="E63" s="6">
        <v>4</v>
      </c>
      <c r="F63" s="7">
        <v>162</v>
      </c>
      <c r="G63" s="7">
        <v>137.29</v>
      </c>
      <c r="H63" s="5" t="s">
        <v>74</v>
      </c>
      <c r="I63" s="5" t="s">
        <v>19</v>
      </c>
      <c r="J63" s="5" t="s">
        <v>11</v>
      </c>
    </row>
    <row r="64" spans="1:10" x14ac:dyDescent="0.3">
      <c r="A64" s="4">
        <v>44298</v>
      </c>
      <c r="B64" s="5" t="s">
        <v>75</v>
      </c>
      <c r="C64" s="5" t="str">
        <f t="shared" si="0"/>
        <v>Tire</v>
      </c>
      <c r="D64" s="5"/>
      <c r="E64" s="6">
        <v>2</v>
      </c>
      <c r="F64" s="7">
        <v>819</v>
      </c>
      <c r="G64" s="7">
        <v>694.07</v>
      </c>
      <c r="H64" s="5" t="s">
        <v>76</v>
      </c>
      <c r="I64" s="5" t="s">
        <v>15</v>
      </c>
      <c r="J64" s="5" t="s">
        <v>11</v>
      </c>
    </row>
    <row r="65" spans="1:10" x14ac:dyDescent="0.3">
      <c r="A65" s="4">
        <v>44299</v>
      </c>
      <c r="B65" s="5" t="s">
        <v>52</v>
      </c>
      <c r="C65" s="5" t="str">
        <f t="shared" si="0"/>
        <v>Oil</v>
      </c>
      <c r="D65" s="5"/>
      <c r="E65" s="6">
        <v>3</v>
      </c>
      <c r="F65" s="7">
        <v>56.25</v>
      </c>
      <c r="G65" s="7">
        <v>47.67</v>
      </c>
      <c r="H65" s="5" t="s">
        <v>18</v>
      </c>
      <c r="I65" s="5" t="s">
        <v>19</v>
      </c>
      <c r="J65" s="5" t="s">
        <v>11</v>
      </c>
    </row>
    <row r="66" spans="1:10" x14ac:dyDescent="0.3">
      <c r="A66" s="4">
        <v>44299</v>
      </c>
      <c r="B66" s="5" t="s">
        <v>72</v>
      </c>
      <c r="C66" s="5" t="str">
        <f t="shared" si="0"/>
        <v>Oil</v>
      </c>
      <c r="D66" s="5"/>
      <c r="E66" s="6">
        <v>8</v>
      </c>
      <c r="F66" s="7">
        <v>138</v>
      </c>
      <c r="G66" s="7">
        <v>116.95</v>
      </c>
      <c r="H66" s="5" t="s">
        <v>18</v>
      </c>
      <c r="I66" s="5" t="s">
        <v>19</v>
      </c>
      <c r="J66" s="5" t="s">
        <v>11</v>
      </c>
    </row>
    <row r="67" spans="1:10" x14ac:dyDescent="0.3">
      <c r="A67" s="4">
        <v>44299</v>
      </c>
      <c r="B67" s="5" t="s">
        <v>77</v>
      </c>
      <c r="C67" s="5" t="str">
        <f t="shared" si="0"/>
        <v>Oil</v>
      </c>
      <c r="D67" s="5"/>
      <c r="E67" s="6">
        <v>4</v>
      </c>
      <c r="F67" s="7">
        <v>90</v>
      </c>
      <c r="G67" s="7">
        <v>76.27</v>
      </c>
      <c r="H67" s="5" t="s">
        <v>18</v>
      </c>
      <c r="I67" s="5" t="s">
        <v>19</v>
      </c>
      <c r="J67" s="5" t="s">
        <v>11</v>
      </c>
    </row>
    <row r="68" spans="1:10" x14ac:dyDescent="0.3">
      <c r="A68" s="4">
        <v>44299</v>
      </c>
      <c r="B68" s="5" t="s">
        <v>78</v>
      </c>
      <c r="C68" s="5" t="str">
        <f t="shared" ref="C68:C131" si="1">IF(LEFT($B68,FIND(" ",$B68)-1)=$D$2,"Oil",IF(LEFT($B68,FIND(" ",$B68)-1)=$D$3,"Battery",IF(LEFT($B68,FIND(" ",$B68)-1)=$D$4,"Tire", "      ")))</f>
        <v>Oil</v>
      </c>
      <c r="D68" s="5"/>
      <c r="E68" s="6">
        <v>4</v>
      </c>
      <c r="F68" s="7">
        <v>105</v>
      </c>
      <c r="G68" s="7">
        <v>88.97</v>
      </c>
      <c r="H68" s="5" t="s">
        <v>18</v>
      </c>
      <c r="I68" s="5" t="s">
        <v>19</v>
      </c>
      <c r="J68" s="5" t="s">
        <v>11</v>
      </c>
    </row>
    <row r="69" spans="1:10" x14ac:dyDescent="0.3">
      <c r="A69" s="4">
        <v>44299</v>
      </c>
      <c r="B69" s="5" t="s">
        <v>79</v>
      </c>
      <c r="C69" s="5" t="str">
        <f t="shared" si="1"/>
        <v>Oil</v>
      </c>
      <c r="D69" s="5"/>
      <c r="E69" s="6">
        <v>1</v>
      </c>
      <c r="F69" s="7">
        <v>27.75</v>
      </c>
      <c r="G69" s="7">
        <v>23.52</v>
      </c>
      <c r="H69" s="5" t="s">
        <v>18</v>
      </c>
      <c r="I69" s="5" t="s">
        <v>19</v>
      </c>
      <c r="J69" s="5" t="s">
        <v>11</v>
      </c>
    </row>
    <row r="70" spans="1:10" x14ac:dyDescent="0.3">
      <c r="A70" s="4">
        <v>44299</v>
      </c>
      <c r="B70" s="5" t="s">
        <v>80</v>
      </c>
      <c r="C70" s="5" t="str">
        <f t="shared" si="1"/>
        <v>Oil</v>
      </c>
      <c r="D70" s="5"/>
      <c r="E70" s="6">
        <v>4</v>
      </c>
      <c r="F70" s="7">
        <v>69</v>
      </c>
      <c r="G70" s="7">
        <v>58.47</v>
      </c>
      <c r="H70" s="5" t="s">
        <v>25</v>
      </c>
      <c r="I70" s="5" t="s">
        <v>19</v>
      </c>
      <c r="J70" s="5" t="s">
        <v>11</v>
      </c>
    </row>
    <row r="71" spans="1:10" x14ac:dyDescent="0.3">
      <c r="A71" s="4">
        <v>44299</v>
      </c>
      <c r="B71" s="5" t="s">
        <v>77</v>
      </c>
      <c r="C71" s="5" t="str">
        <f t="shared" si="1"/>
        <v>Oil</v>
      </c>
      <c r="D71" s="5"/>
      <c r="E71" s="6">
        <v>4</v>
      </c>
      <c r="F71" s="7">
        <v>90</v>
      </c>
      <c r="G71" s="7">
        <v>76.27</v>
      </c>
      <c r="H71" s="5" t="s">
        <v>18</v>
      </c>
      <c r="I71" s="5" t="s">
        <v>19</v>
      </c>
      <c r="J71" s="5" t="s">
        <v>11</v>
      </c>
    </row>
    <row r="72" spans="1:10" x14ac:dyDescent="0.3">
      <c r="A72" s="4">
        <v>44299</v>
      </c>
      <c r="B72" s="5" t="s">
        <v>81</v>
      </c>
      <c r="C72" s="5" t="str">
        <f t="shared" si="1"/>
        <v>Oil</v>
      </c>
      <c r="D72" s="5"/>
      <c r="E72" s="6">
        <v>3</v>
      </c>
      <c r="F72" s="7">
        <v>74.25</v>
      </c>
      <c r="G72" s="7">
        <v>62.92</v>
      </c>
      <c r="H72" s="5" t="s">
        <v>18</v>
      </c>
      <c r="I72" s="5" t="s">
        <v>19</v>
      </c>
      <c r="J72" s="5" t="s">
        <v>11</v>
      </c>
    </row>
    <row r="73" spans="1:10" x14ac:dyDescent="0.3">
      <c r="A73" s="4">
        <v>44300</v>
      </c>
      <c r="B73" s="5" t="s">
        <v>16</v>
      </c>
      <c r="C73" s="5" t="str">
        <f t="shared" si="1"/>
        <v>Oil</v>
      </c>
      <c r="D73" s="5"/>
      <c r="E73" s="6">
        <v>4</v>
      </c>
      <c r="F73" s="7">
        <v>105</v>
      </c>
      <c r="G73" s="7">
        <v>88.98</v>
      </c>
      <c r="H73" s="5" t="s">
        <v>18</v>
      </c>
      <c r="I73" s="5" t="s">
        <v>19</v>
      </c>
      <c r="J73" s="5" t="s">
        <v>11</v>
      </c>
    </row>
    <row r="74" spans="1:10" x14ac:dyDescent="0.3">
      <c r="A74" s="4">
        <v>44300</v>
      </c>
      <c r="B74" s="5" t="s">
        <v>26</v>
      </c>
      <c r="C74" s="5" t="str">
        <f t="shared" si="1"/>
        <v>Oil</v>
      </c>
      <c r="D74" s="5"/>
      <c r="E74" s="6">
        <v>4</v>
      </c>
      <c r="F74" s="7">
        <v>96</v>
      </c>
      <c r="G74" s="7">
        <v>81.36</v>
      </c>
      <c r="H74" s="5" t="s">
        <v>18</v>
      </c>
      <c r="I74" s="5" t="s">
        <v>19</v>
      </c>
      <c r="J74" s="5" t="s">
        <v>11</v>
      </c>
    </row>
    <row r="75" spans="1:10" x14ac:dyDescent="0.3">
      <c r="A75" s="4">
        <v>44300</v>
      </c>
      <c r="B75" s="5" t="s">
        <v>82</v>
      </c>
      <c r="C75" s="5" t="s">
        <v>43</v>
      </c>
      <c r="D75" s="5"/>
      <c r="E75" s="6">
        <v>2</v>
      </c>
      <c r="F75" s="7">
        <v>153</v>
      </c>
      <c r="G75" s="7">
        <v>129.66</v>
      </c>
      <c r="H75" s="5" t="s">
        <v>83</v>
      </c>
      <c r="I75" s="5" t="s">
        <v>15</v>
      </c>
      <c r="J75" s="5" t="s">
        <v>11</v>
      </c>
    </row>
    <row r="76" spans="1:10" x14ac:dyDescent="0.3">
      <c r="A76" s="4">
        <v>44300</v>
      </c>
      <c r="B76" s="5" t="s">
        <v>84</v>
      </c>
      <c r="C76" s="5" t="str">
        <f t="shared" si="1"/>
        <v>Battery</v>
      </c>
      <c r="D76" s="5"/>
      <c r="E76" s="6">
        <v>1</v>
      </c>
      <c r="F76" s="7">
        <v>242.1</v>
      </c>
      <c r="G76" s="7">
        <v>205.17</v>
      </c>
      <c r="H76" s="5" t="s">
        <v>85</v>
      </c>
      <c r="I76" s="5" t="s">
        <v>10</v>
      </c>
      <c r="J76" s="5" t="s">
        <v>11</v>
      </c>
    </row>
    <row r="77" spans="1:10" x14ac:dyDescent="0.3">
      <c r="A77" s="4">
        <v>44300</v>
      </c>
      <c r="B77" s="5" t="s">
        <v>16</v>
      </c>
      <c r="C77" s="5" t="str">
        <f t="shared" si="1"/>
        <v>Oil</v>
      </c>
      <c r="D77" s="5"/>
      <c r="E77" s="6">
        <v>4</v>
      </c>
      <c r="F77" s="7">
        <v>105</v>
      </c>
      <c r="G77" s="7">
        <v>88.98</v>
      </c>
      <c r="H77" s="5" t="s">
        <v>18</v>
      </c>
      <c r="I77" s="5" t="s">
        <v>19</v>
      </c>
      <c r="J77" s="5" t="s">
        <v>11</v>
      </c>
    </row>
    <row r="78" spans="1:10" x14ac:dyDescent="0.3">
      <c r="A78" s="4">
        <v>44301</v>
      </c>
      <c r="B78" s="5" t="s">
        <v>86</v>
      </c>
      <c r="C78" s="5" t="str">
        <f t="shared" si="1"/>
        <v>Oil</v>
      </c>
      <c r="D78" s="5"/>
      <c r="E78" s="6">
        <v>4</v>
      </c>
      <c r="F78" s="7">
        <v>51</v>
      </c>
      <c r="G78" s="7">
        <v>43.22</v>
      </c>
      <c r="H78" s="5" t="s">
        <v>18</v>
      </c>
      <c r="I78" s="5" t="s">
        <v>19</v>
      </c>
      <c r="J78" s="5" t="s">
        <v>11</v>
      </c>
    </row>
    <row r="79" spans="1:10" x14ac:dyDescent="0.3">
      <c r="A79" s="4">
        <v>44301</v>
      </c>
      <c r="B79" s="5" t="s">
        <v>87</v>
      </c>
      <c r="C79" s="5" t="s">
        <v>43</v>
      </c>
      <c r="D79" s="5"/>
      <c r="E79" s="6">
        <v>4</v>
      </c>
      <c r="F79" s="7">
        <v>594</v>
      </c>
      <c r="G79" s="7">
        <v>503.39</v>
      </c>
      <c r="H79" s="5" t="s">
        <v>44</v>
      </c>
      <c r="I79" s="5" t="s">
        <v>15</v>
      </c>
      <c r="J79" s="5" t="s">
        <v>11</v>
      </c>
    </row>
    <row r="80" spans="1:10" x14ac:dyDescent="0.3">
      <c r="A80" s="4">
        <v>44301</v>
      </c>
      <c r="B80" s="5" t="s">
        <v>88</v>
      </c>
      <c r="C80" s="5" t="str">
        <f t="shared" si="1"/>
        <v>Tire</v>
      </c>
      <c r="D80" s="5"/>
      <c r="E80" s="6">
        <v>4</v>
      </c>
      <c r="F80" s="7">
        <v>1620</v>
      </c>
      <c r="G80" s="7">
        <v>1372.88</v>
      </c>
      <c r="H80" s="5" t="s">
        <v>23</v>
      </c>
      <c r="I80" s="5" t="s">
        <v>15</v>
      </c>
      <c r="J80" s="5" t="s">
        <v>11</v>
      </c>
    </row>
    <row r="81" spans="1:10" x14ac:dyDescent="0.3">
      <c r="A81" s="4">
        <v>44301</v>
      </c>
      <c r="B81" s="5" t="s">
        <v>89</v>
      </c>
      <c r="C81" s="5" t="str">
        <f t="shared" si="1"/>
        <v>Tire</v>
      </c>
      <c r="D81" s="5"/>
      <c r="E81" s="6">
        <v>2</v>
      </c>
      <c r="F81" s="7">
        <v>704</v>
      </c>
      <c r="G81" s="7">
        <v>596.61</v>
      </c>
      <c r="H81" s="5" t="s">
        <v>14</v>
      </c>
      <c r="I81" s="5" t="s">
        <v>15</v>
      </c>
      <c r="J81" s="5" t="s">
        <v>11</v>
      </c>
    </row>
    <row r="82" spans="1:10" x14ac:dyDescent="0.3">
      <c r="A82" s="4">
        <v>44301</v>
      </c>
      <c r="B82" s="5" t="s">
        <v>90</v>
      </c>
      <c r="C82" s="5" t="str">
        <f t="shared" si="1"/>
        <v>Tire</v>
      </c>
      <c r="D82" s="5"/>
      <c r="E82" s="6">
        <v>4</v>
      </c>
      <c r="F82" s="7">
        <v>846</v>
      </c>
      <c r="G82" s="7">
        <v>716.95</v>
      </c>
      <c r="H82" s="5" t="s">
        <v>23</v>
      </c>
      <c r="I82" s="5" t="s">
        <v>15</v>
      </c>
      <c r="J82" s="5" t="s">
        <v>11</v>
      </c>
    </row>
    <row r="83" spans="1:10" x14ac:dyDescent="0.3">
      <c r="A83" s="4">
        <v>44301</v>
      </c>
      <c r="B83" s="5" t="s">
        <v>91</v>
      </c>
      <c r="C83" s="5" t="str">
        <f t="shared" si="1"/>
        <v>Tire</v>
      </c>
      <c r="D83" s="5"/>
      <c r="E83" s="6">
        <v>4</v>
      </c>
      <c r="F83" s="7">
        <v>828</v>
      </c>
      <c r="G83" s="7">
        <v>701.69</v>
      </c>
      <c r="H83" s="5" t="s">
        <v>23</v>
      </c>
      <c r="I83" s="5" t="s">
        <v>15</v>
      </c>
      <c r="J83" s="5" t="s">
        <v>11</v>
      </c>
    </row>
    <row r="84" spans="1:10" x14ac:dyDescent="0.3">
      <c r="A84" s="4">
        <v>44301</v>
      </c>
      <c r="B84" s="5" t="s">
        <v>72</v>
      </c>
      <c r="C84" s="5" t="str">
        <f t="shared" si="1"/>
        <v>Oil</v>
      </c>
      <c r="D84" s="5"/>
      <c r="E84" s="6">
        <v>4</v>
      </c>
      <c r="F84" s="7">
        <v>69</v>
      </c>
      <c r="G84" s="7">
        <v>58.47</v>
      </c>
      <c r="H84" s="5" t="s">
        <v>18</v>
      </c>
      <c r="I84" s="5" t="s">
        <v>19</v>
      </c>
      <c r="J84" s="5" t="s">
        <v>11</v>
      </c>
    </row>
    <row r="85" spans="1:10" x14ac:dyDescent="0.3">
      <c r="A85" s="4">
        <v>44301</v>
      </c>
      <c r="B85" s="5" t="s">
        <v>92</v>
      </c>
      <c r="C85" s="5" t="str">
        <f t="shared" si="1"/>
        <v>Oil</v>
      </c>
      <c r="D85" s="5"/>
      <c r="E85" s="6">
        <v>4</v>
      </c>
      <c r="F85" s="7">
        <v>144</v>
      </c>
      <c r="G85" s="7">
        <v>122.03</v>
      </c>
      <c r="H85" s="5" t="s">
        <v>93</v>
      </c>
      <c r="I85" s="5" t="s">
        <v>19</v>
      </c>
      <c r="J85" s="5" t="s">
        <v>11</v>
      </c>
    </row>
    <row r="86" spans="1:10" x14ac:dyDescent="0.3">
      <c r="A86" s="4">
        <v>44301</v>
      </c>
      <c r="B86" s="5" t="s">
        <v>94</v>
      </c>
      <c r="C86" s="5" t="str">
        <f t="shared" si="1"/>
        <v>Tire</v>
      </c>
      <c r="D86" s="5"/>
      <c r="E86" s="6">
        <v>4</v>
      </c>
      <c r="F86" s="7">
        <v>378</v>
      </c>
      <c r="G86" s="7">
        <v>320.33999999999997</v>
      </c>
      <c r="H86" s="5" t="s">
        <v>23</v>
      </c>
      <c r="I86" s="5" t="s">
        <v>15</v>
      </c>
      <c r="J86" s="5" t="s">
        <v>11</v>
      </c>
    </row>
    <row r="87" spans="1:10" x14ac:dyDescent="0.3">
      <c r="A87" s="4">
        <v>44303</v>
      </c>
      <c r="B87" s="5" t="s">
        <v>36</v>
      </c>
      <c r="C87" s="5" t="str">
        <f t="shared" si="1"/>
        <v>Tire</v>
      </c>
      <c r="D87" s="5"/>
      <c r="E87" s="6">
        <v>4</v>
      </c>
      <c r="F87" s="7">
        <v>608</v>
      </c>
      <c r="G87" s="7">
        <v>515.25</v>
      </c>
      <c r="H87" s="5" t="s">
        <v>14</v>
      </c>
      <c r="I87" s="5" t="s">
        <v>15</v>
      </c>
      <c r="J87" s="5" t="s">
        <v>11</v>
      </c>
    </row>
    <row r="88" spans="1:10" x14ac:dyDescent="0.3">
      <c r="A88" s="4">
        <v>44303</v>
      </c>
      <c r="B88" s="5" t="s">
        <v>79</v>
      </c>
      <c r="C88" s="5" t="str">
        <f t="shared" si="1"/>
        <v>Oil</v>
      </c>
      <c r="D88" s="5"/>
      <c r="E88" s="6">
        <v>1</v>
      </c>
      <c r="F88" s="7">
        <v>27.75</v>
      </c>
      <c r="G88" s="7">
        <v>23.52</v>
      </c>
      <c r="H88" s="5" t="s">
        <v>18</v>
      </c>
      <c r="I88" s="5" t="s">
        <v>19</v>
      </c>
      <c r="J88" s="5" t="s">
        <v>11</v>
      </c>
    </row>
    <row r="89" spans="1:10" x14ac:dyDescent="0.3">
      <c r="A89" s="4">
        <v>44303</v>
      </c>
      <c r="B89" s="5" t="s">
        <v>95</v>
      </c>
      <c r="C89" s="5" t="str">
        <f t="shared" si="1"/>
        <v>Tire</v>
      </c>
      <c r="D89" s="5"/>
      <c r="E89" s="6">
        <v>4</v>
      </c>
      <c r="F89" s="7">
        <v>1248</v>
      </c>
      <c r="G89" s="7">
        <v>1057.6300000000001</v>
      </c>
      <c r="H89" s="5" t="s">
        <v>14</v>
      </c>
      <c r="I89" s="5" t="s">
        <v>15</v>
      </c>
      <c r="J89" s="5" t="s">
        <v>11</v>
      </c>
    </row>
    <row r="90" spans="1:10" x14ac:dyDescent="0.3">
      <c r="A90" s="4">
        <v>44303</v>
      </c>
      <c r="B90" s="5" t="s">
        <v>96</v>
      </c>
      <c r="C90" s="5" t="str">
        <f t="shared" si="1"/>
        <v>Oil</v>
      </c>
      <c r="D90" s="5"/>
      <c r="E90" s="6">
        <v>2</v>
      </c>
      <c r="F90" s="7">
        <v>75</v>
      </c>
      <c r="G90" s="7">
        <v>63.56</v>
      </c>
      <c r="H90" s="5" t="s">
        <v>25</v>
      </c>
      <c r="I90" s="5" t="s">
        <v>19</v>
      </c>
      <c r="J90" s="5" t="s">
        <v>11</v>
      </c>
    </row>
    <row r="91" spans="1:10" x14ac:dyDescent="0.3">
      <c r="A91" s="4">
        <v>44303</v>
      </c>
      <c r="B91" s="5" t="s">
        <v>78</v>
      </c>
      <c r="C91" s="5" t="str">
        <f t="shared" si="1"/>
        <v>Oil</v>
      </c>
      <c r="D91" s="5"/>
      <c r="E91" s="6">
        <v>8</v>
      </c>
      <c r="F91" s="7">
        <v>210</v>
      </c>
      <c r="G91" s="7">
        <v>177.97</v>
      </c>
      <c r="H91" s="5" t="s">
        <v>18</v>
      </c>
      <c r="I91" s="5" t="s">
        <v>19</v>
      </c>
      <c r="J91" s="5" t="s">
        <v>11</v>
      </c>
    </row>
    <row r="92" spans="1:10" x14ac:dyDescent="0.3">
      <c r="A92" s="4">
        <v>44303</v>
      </c>
      <c r="B92" s="5" t="s">
        <v>97</v>
      </c>
      <c r="C92" s="5" t="str">
        <f t="shared" si="1"/>
        <v>Oil</v>
      </c>
      <c r="D92" s="5"/>
      <c r="E92" s="6">
        <v>12</v>
      </c>
      <c r="F92" s="7">
        <v>180</v>
      </c>
      <c r="G92" s="7">
        <v>152.54</v>
      </c>
      <c r="H92" s="5" t="s">
        <v>25</v>
      </c>
      <c r="I92" s="5" t="s">
        <v>19</v>
      </c>
      <c r="J92" s="5" t="s">
        <v>11</v>
      </c>
    </row>
    <row r="93" spans="1:10" x14ac:dyDescent="0.3">
      <c r="A93" s="4">
        <v>44305</v>
      </c>
      <c r="B93" s="5" t="s">
        <v>98</v>
      </c>
      <c r="C93" s="5" t="str">
        <f t="shared" si="1"/>
        <v>Tire</v>
      </c>
      <c r="D93" s="5"/>
      <c r="E93" s="6">
        <v>4</v>
      </c>
      <c r="F93" s="7">
        <v>3472</v>
      </c>
      <c r="G93" s="7">
        <v>2942.37</v>
      </c>
      <c r="H93" s="5" t="s">
        <v>14</v>
      </c>
      <c r="I93" s="5" t="s">
        <v>15</v>
      </c>
      <c r="J93" s="5" t="s">
        <v>11</v>
      </c>
    </row>
    <row r="94" spans="1:10" x14ac:dyDescent="0.3">
      <c r="A94" s="4">
        <v>44305</v>
      </c>
      <c r="B94" s="5" t="s">
        <v>99</v>
      </c>
      <c r="C94" s="5" t="str">
        <f t="shared" si="1"/>
        <v>Oil</v>
      </c>
      <c r="D94" s="5"/>
      <c r="E94" s="6">
        <v>8</v>
      </c>
      <c r="F94" s="7">
        <v>172.8</v>
      </c>
      <c r="G94" s="7">
        <v>146.44</v>
      </c>
      <c r="H94" s="5" t="s">
        <v>93</v>
      </c>
      <c r="I94" s="5" t="s">
        <v>19</v>
      </c>
      <c r="J94" s="5" t="s">
        <v>11</v>
      </c>
    </row>
    <row r="95" spans="1:10" x14ac:dyDescent="0.3">
      <c r="A95" s="4">
        <v>44305</v>
      </c>
      <c r="B95" s="5" t="s">
        <v>79</v>
      </c>
      <c r="C95" s="5" t="str">
        <f t="shared" si="1"/>
        <v>Oil</v>
      </c>
      <c r="D95" s="5"/>
      <c r="E95" s="6">
        <v>2</v>
      </c>
      <c r="F95" s="7">
        <v>55.5</v>
      </c>
      <c r="G95" s="7">
        <v>47.03</v>
      </c>
      <c r="H95" s="5" t="s">
        <v>18</v>
      </c>
      <c r="I95" s="5" t="s">
        <v>19</v>
      </c>
      <c r="J95" s="5" t="s">
        <v>11</v>
      </c>
    </row>
    <row r="96" spans="1:10" x14ac:dyDescent="0.3">
      <c r="A96" s="4">
        <v>44305</v>
      </c>
      <c r="B96" s="5" t="s">
        <v>78</v>
      </c>
      <c r="C96" s="5" t="str">
        <f t="shared" si="1"/>
        <v>Oil</v>
      </c>
      <c r="D96" s="5"/>
      <c r="E96" s="6">
        <v>4</v>
      </c>
      <c r="F96" s="7">
        <v>105</v>
      </c>
      <c r="G96" s="7">
        <v>88.99</v>
      </c>
      <c r="H96" s="5" t="s">
        <v>18</v>
      </c>
      <c r="I96" s="5" t="s">
        <v>19</v>
      </c>
      <c r="J96" s="5" t="s">
        <v>11</v>
      </c>
    </row>
    <row r="97" spans="1:10" x14ac:dyDescent="0.3">
      <c r="A97" s="4">
        <v>44305</v>
      </c>
      <c r="B97" s="5" t="s">
        <v>100</v>
      </c>
      <c r="C97" s="5" t="str">
        <f t="shared" si="1"/>
        <v>Battery</v>
      </c>
      <c r="D97" s="5"/>
      <c r="E97" s="6">
        <v>1</v>
      </c>
      <c r="F97" s="7">
        <v>135.15</v>
      </c>
      <c r="G97" s="7">
        <v>114.53</v>
      </c>
      <c r="H97" s="5" t="s">
        <v>9</v>
      </c>
      <c r="I97" s="5" t="s">
        <v>10</v>
      </c>
      <c r="J97" s="5" t="s">
        <v>11</v>
      </c>
    </row>
    <row r="98" spans="1:10" x14ac:dyDescent="0.3">
      <c r="A98" s="4">
        <v>44305</v>
      </c>
      <c r="B98" s="5" t="s">
        <v>101</v>
      </c>
      <c r="C98" s="5" t="str">
        <f t="shared" si="1"/>
        <v>Oil</v>
      </c>
      <c r="D98" s="5"/>
      <c r="E98" s="6">
        <v>5</v>
      </c>
      <c r="F98" s="7">
        <v>123.75</v>
      </c>
      <c r="G98" s="7">
        <v>104.87</v>
      </c>
      <c r="H98" s="5" t="s">
        <v>18</v>
      </c>
      <c r="I98" s="5" t="s">
        <v>19</v>
      </c>
      <c r="J98" s="5" t="s">
        <v>11</v>
      </c>
    </row>
    <row r="99" spans="1:10" x14ac:dyDescent="0.3">
      <c r="A99" s="4">
        <v>44305</v>
      </c>
      <c r="B99" s="5" t="s">
        <v>54</v>
      </c>
      <c r="C99" s="5" t="str">
        <f t="shared" si="1"/>
        <v>Oil</v>
      </c>
      <c r="D99" s="5"/>
      <c r="E99" s="6">
        <v>5</v>
      </c>
      <c r="F99" s="7">
        <v>138.75</v>
      </c>
      <c r="G99" s="7">
        <v>117.58</v>
      </c>
      <c r="H99" s="5" t="s">
        <v>18</v>
      </c>
      <c r="I99" s="5" t="s">
        <v>19</v>
      </c>
      <c r="J99" s="5" t="s">
        <v>11</v>
      </c>
    </row>
    <row r="100" spans="1:10" x14ac:dyDescent="0.3">
      <c r="A100" s="4">
        <v>44305</v>
      </c>
      <c r="B100" s="5" t="s">
        <v>41</v>
      </c>
      <c r="C100" s="5" t="str">
        <f t="shared" si="1"/>
        <v>Oil</v>
      </c>
      <c r="D100" s="5"/>
      <c r="E100" s="6">
        <v>3</v>
      </c>
      <c r="F100" s="7">
        <v>90</v>
      </c>
      <c r="G100" s="7">
        <v>76.27</v>
      </c>
      <c r="H100" s="5" t="s">
        <v>18</v>
      </c>
      <c r="I100" s="5" t="s">
        <v>19</v>
      </c>
      <c r="J100" s="5" t="s">
        <v>11</v>
      </c>
    </row>
    <row r="101" spans="1:10" x14ac:dyDescent="0.3">
      <c r="A101" s="4">
        <v>44305</v>
      </c>
      <c r="B101" s="5" t="s">
        <v>102</v>
      </c>
      <c r="C101" s="5" t="str">
        <f t="shared" si="1"/>
        <v>Tire</v>
      </c>
      <c r="D101" s="5"/>
      <c r="E101" s="6">
        <v>4</v>
      </c>
      <c r="F101" s="7">
        <v>736</v>
      </c>
      <c r="G101" s="7">
        <v>623.73</v>
      </c>
      <c r="H101" s="5" t="s">
        <v>14</v>
      </c>
      <c r="I101" s="5" t="s">
        <v>15</v>
      </c>
      <c r="J101" s="5" t="s">
        <v>11</v>
      </c>
    </row>
    <row r="102" spans="1:10" x14ac:dyDescent="0.3">
      <c r="A102" s="4">
        <v>44305</v>
      </c>
      <c r="B102" s="5" t="s">
        <v>103</v>
      </c>
      <c r="C102" s="5" t="str">
        <f t="shared" si="1"/>
        <v>Oil</v>
      </c>
      <c r="D102" s="5"/>
      <c r="E102" s="6">
        <v>4</v>
      </c>
      <c r="F102" s="7">
        <v>60</v>
      </c>
      <c r="G102" s="7">
        <v>50.85</v>
      </c>
      <c r="H102" s="5" t="s">
        <v>25</v>
      </c>
      <c r="I102" s="5" t="s">
        <v>19</v>
      </c>
      <c r="J102" s="5" t="s">
        <v>11</v>
      </c>
    </row>
    <row r="103" spans="1:10" x14ac:dyDescent="0.3">
      <c r="A103" s="4">
        <v>44306</v>
      </c>
      <c r="B103" s="5" t="s">
        <v>104</v>
      </c>
      <c r="C103" s="5" t="str">
        <f t="shared" si="1"/>
        <v>Oil</v>
      </c>
      <c r="D103" s="5"/>
      <c r="E103" s="6">
        <v>5</v>
      </c>
      <c r="F103" s="7">
        <v>61.75</v>
      </c>
      <c r="G103" s="7">
        <v>52.33</v>
      </c>
      <c r="H103" s="5" t="s">
        <v>105</v>
      </c>
      <c r="I103" s="5" t="s">
        <v>19</v>
      </c>
      <c r="J103" s="5" t="s">
        <v>11</v>
      </c>
    </row>
    <row r="104" spans="1:10" x14ac:dyDescent="0.3">
      <c r="A104" s="4">
        <v>44306</v>
      </c>
      <c r="B104" s="5" t="s">
        <v>106</v>
      </c>
      <c r="C104" s="5" t="str">
        <f t="shared" si="1"/>
        <v>Oil</v>
      </c>
      <c r="D104" s="5"/>
      <c r="E104" s="6">
        <v>5</v>
      </c>
      <c r="F104" s="7">
        <v>97.5</v>
      </c>
      <c r="G104" s="7">
        <v>82.63</v>
      </c>
      <c r="H104" s="5" t="s">
        <v>25</v>
      </c>
      <c r="I104" s="5" t="s">
        <v>19</v>
      </c>
      <c r="J104" s="5" t="s">
        <v>11</v>
      </c>
    </row>
    <row r="105" spans="1:10" x14ac:dyDescent="0.3">
      <c r="A105" s="4">
        <v>44306</v>
      </c>
      <c r="B105" s="5" t="s">
        <v>53</v>
      </c>
      <c r="C105" s="5" t="str">
        <f t="shared" si="1"/>
        <v>Tire</v>
      </c>
      <c r="D105" s="5"/>
      <c r="E105" s="6">
        <v>2</v>
      </c>
      <c r="F105" s="7">
        <v>368</v>
      </c>
      <c r="G105" s="7">
        <v>311.86</v>
      </c>
      <c r="H105" s="5" t="s">
        <v>14</v>
      </c>
      <c r="I105" s="5" t="s">
        <v>15</v>
      </c>
      <c r="J105" s="5" t="s">
        <v>11</v>
      </c>
    </row>
    <row r="106" spans="1:10" x14ac:dyDescent="0.3">
      <c r="A106" s="4">
        <v>44306</v>
      </c>
      <c r="B106" s="5" t="s">
        <v>107</v>
      </c>
      <c r="C106" s="5" t="str">
        <f t="shared" si="1"/>
        <v>Tire</v>
      </c>
      <c r="D106" s="5"/>
      <c r="E106" s="6">
        <v>4</v>
      </c>
      <c r="F106" s="7">
        <v>2112</v>
      </c>
      <c r="G106" s="7">
        <v>1789.83</v>
      </c>
      <c r="H106" s="5" t="s">
        <v>14</v>
      </c>
      <c r="I106" s="5" t="s">
        <v>15</v>
      </c>
      <c r="J106" s="5" t="s">
        <v>11</v>
      </c>
    </row>
    <row r="107" spans="1:10" x14ac:dyDescent="0.3">
      <c r="A107" s="4">
        <v>44306</v>
      </c>
      <c r="B107" s="5" t="s">
        <v>101</v>
      </c>
      <c r="C107" s="5" t="str">
        <f t="shared" si="1"/>
        <v>Oil</v>
      </c>
      <c r="D107" s="5"/>
      <c r="E107" s="6">
        <v>5</v>
      </c>
      <c r="F107" s="7">
        <v>123.75</v>
      </c>
      <c r="G107" s="7">
        <v>104.87</v>
      </c>
      <c r="H107" s="5" t="s">
        <v>18</v>
      </c>
      <c r="I107" s="5" t="s">
        <v>19</v>
      </c>
      <c r="J107" s="5" t="s">
        <v>11</v>
      </c>
    </row>
    <row r="108" spans="1:10" x14ac:dyDescent="0.3">
      <c r="A108" s="4">
        <v>44307</v>
      </c>
      <c r="B108" s="5" t="s">
        <v>108</v>
      </c>
      <c r="C108" s="5" t="str">
        <f t="shared" si="1"/>
        <v>Oil</v>
      </c>
      <c r="D108" s="5"/>
      <c r="E108" s="6">
        <v>4</v>
      </c>
      <c r="F108" s="7">
        <v>120</v>
      </c>
      <c r="G108" s="7">
        <v>101.69</v>
      </c>
      <c r="H108" s="5" t="s">
        <v>18</v>
      </c>
      <c r="I108" s="5" t="s">
        <v>19</v>
      </c>
      <c r="J108" s="5" t="s">
        <v>11</v>
      </c>
    </row>
    <row r="109" spans="1:10" x14ac:dyDescent="0.3">
      <c r="A109" s="4">
        <v>44307</v>
      </c>
      <c r="B109" s="5" t="s">
        <v>26</v>
      </c>
      <c r="C109" s="5" t="str">
        <f t="shared" si="1"/>
        <v>Oil</v>
      </c>
      <c r="D109" s="5"/>
      <c r="E109" s="6">
        <v>3</v>
      </c>
      <c r="F109" s="7">
        <v>72</v>
      </c>
      <c r="G109" s="7">
        <v>61.01</v>
      </c>
      <c r="H109" s="5" t="s">
        <v>18</v>
      </c>
      <c r="I109" s="5" t="s">
        <v>19</v>
      </c>
      <c r="J109" s="5" t="s">
        <v>11</v>
      </c>
    </row>
    <row r="110" spans="1:10" x14ac:dyDescent="0.3">
      <c r="A110" s="4">
        <v>44307</v>
      </c>
      <c r="B110" s="5" t="s">
        <v>109</v>
      </c>
      <c r="C110" s="5" t="str">
        <f t="shared" si="1"/>
        <v>Oil</v>
      </c>
      <c r="D110" s="5"/>
      <c r="E110" s="6">
        <v>4</v>
      </c>
      <c r="F110" s="7">
        <v>154.80000000000001</v>
      </c>
      <c r="G110" s="7">
        <v>131.19</v>
      </c>
      <c r="H110" s="5" t="s">
        <v>74</v>
      </c>
      <c r="I110" s="5" t="s">
        <v>19</v>
      </c>
      <c r="J110" s="5" t="s">
        <v>11</v>
      </c>
    </row>
    <row r="111" spans="1:10" x14ac:dyDescent="0.3">
      <c r="A111" s="4">
        <v>44307</v>
      </c>
      <c r="B111" s="5" t="s">
        <v>110</v>
      </c>
      <c r="C111" s="5" t="s">
        <v>43</v>
      </c>
      <c r="D111" s="5"/>
      <c r="E111" s="6">
        <v>4</v>
      </c>
      <c r="F111" s="7">
        <v>1056</v>
      </c>
      <c r="G111" s="7">
        <v>894.92</v>
      </c>
      <c r="H111" s="5" t="s">
        <v>14</v>
      </c>
      <c r="I111" s="5" t="s">
        <v>15</v>
      </c>
      <c r="J111" s="5" t="s">
        <v>11</v>
      </c>
    </row>
    <row r="112" spans="1:10" x14ac:dyDescent="0.3">
      <c r="A112" s="4">
        <v>44307</v>
      </c>
      <c r="B112" s="5" t="s">
        <v>111</v>
      </c>
      <c r="C112" s="5" t="str">
        <f t="shared" si="1"/>
        <v>Tire</v>
      </c>
      <c r="D112" s="5"/>
      <c r="E112" s="6">
        <v>4</v>
      </c>
      <c r="F112" s="7">
        <v>522</v>
      </c>
      <c r="G112" s="7">
        <v>442.37</v>
      </c>
      <c r="H112" s="5" t="s">
        <v>23</v>
      </c>
      <c r="I112" s="5" t="s">
        <v>15</v>
      </c>
      <c r="J112" s="5" t="s">
        <v>11</v>
      </c>
    </row>
    <row r="113" spans="1:10" x14ac:dyDescent="0.3">
      <c r="A113" s="4">
        <v>44308</v>
      </c>
      <c r="B113" s="5" t="s">
        <v>30</v>
      </c>
      <c r="C113" s="5" t="str">
        <f t="shared" si="1"/>
        <v>Tire</v>
      </c>
      <c r="D113" s="5"/>
      <c r="E113" s="6">
        <v>4</v>
      </c>
      <c r="F113" s="7">
        <v>1904</v>
      </c>
      <c r="G113" s="7">
        <v>1613.56</v>
      </c>
      <c r="H113" s="5" t="s">
        <v>14</v>
      </c>
      <c r="I113" s="5" t="s">
        <v>15</v>
      </c>
      <c r="J113" s="5" t="s">
        <v>11</v>
      </c>
    </row>
    <row r="114" spans="1:10" x14ac:dyDescent="0.3">
      <c r="A114" s="4">
        <v>44308</v>
      </c>
      <c r="B114" s="5" t="s">
        <v>54</v>
      </c>
      <c r="C114" s="5" t="str">
        <f t="shared" si="1"/>
        <v>Oil</v>
      </c>
      <c r="D114" s="5"/>
      <c r="E114" s="6">
        <v>1</v>
      </c>
      <c r="F114" s="7">
        <v>27.75</v>
      </c>
      <c r="G114" s="7">
        <v>23.52</v>
      </c>
      <c r="H114" s="5" t="s">
        <v>18</v>
      </c>
      <c r="I114" s="5" t="s">
        <v>19</v>
      </c>
      <c r="J114" s="5" t="s">
        <v>11</v>
      </c>
    </row>
    <row r="115" spans="1:10" x14ac:dyDescent="0.3">
      <c r="A115" s="4">
        <v>44308</v>
      </c>
      <c r="B115" s="5" t="s">
        <v>16</v>
      </c>
      <c r="C115" s="5" t="str">
        <f t="shared" si="1"/>
        <v>Oil</v>
      </c>
      <c r="D115" s="5"/>
      <c r="E115" s="6">
        <v>4</v>
      </c>
      <c r="F115" s="7">
        <v>105</v>
      </c>
      <c r="G115" s="7">
        <v>88.98</v>
      </c>
      <c r="H115" s="5" t="s">
        <v>18</v>
      </c>
      <c r="I115" s="5" t="s">
        <v>19</v>
      </c>
      <c r="J115" s="5" t="s">
        <v>11</v>
      </c>
    </row>
    <row r="116" spans="1:10" x14ac:dyDescent="0.3">
      <c r="A116" s="4">
        <v>44308</v>
      </c>
      <c r="B116" s="5" t="s">
        <v>103</v>
      </c>
      <c r="C116" s="5" t="str">
        <f t="shared" si="1"/>
        <v>Oil</v>
      </c>
      <c r="D116" s="5"/>
      <c r="E116" s="6">
        <v>4</v>
      </c>
      <c r="F116" s="7">
        <v>60</v>
      </c>
      <c r="G116" s="7">
        <v>50.84</v>
      </c>
      <c r="H116" s="5" t="s">
        <v>25</v>
      </c>
      <c r="I116" s="5" t="s">
        <v>19</v>
      </c>
      <c r="J116" s="5" t="s">
        <v>11</v>
      </c>
    </row>
    <row r="117" spans="1:10" x14ac:dyDescent="0.3">
      <c r="A117" s="4">
        <v>44308</v>
      </c>
      <c r="B117" s="5" t="s">
        <v>112</v>
      </c>
      <c r="C117" s="5" t="str">
        <f t="shared" si="1"/>
        <v>Oil</v>
      </c>
      <c r="D117" s="5"/>
      <c r="E117" s="6">
        <v>5</v>
      </c>
      <c r="F117" s="7">
        <v>150</v>
      </c>
      <c r="G117" s="7">
        <v>127.12</v>
      </c>
      <c r="H117" s="5" t="s">
        <v>18</v>
      </c>
      <c r="I117" s="5" t="s">
        <v>19</v>
      </c>
      <c r="J117" s="5" t="s">
        <v>11</v>
      </c>
    </row>
    <row r="118" spans="1:10" x14ac:dyDescent="0.3">
      <c r="A118" s="4">
        <v>44309</v>
      </c>
      <c r="B118" s="5" t="s">
        <v>78</v>
      </c>
      <c r="C118" s="5" t="str">
        <f t="shared" si="1"/>
        <v>Oil</v>
      </c>
      <c r="D118" s="5"/>
      <c r="E118" s="6">
        <v>4</v>
      </c>
      <c r="F118" s="7">
        <v>105</v>
      </c>
      <c r="G118" s="7">
        <v>88.98</v>
      </c>
      <c r="H118" s="5" t="s">
        <v>18</v>
      </c>
      <c r="I118" s="5" t="s">
        <v>19</v>
      </c>
      <c r="J118" s="5" t="s">
        <v>11</v>
      </c>
    </row>
    <row r="119" spans="1:10" x14ac:dyDescent="0.3">
      <c r="A119" s="4">
        <v>44309</v>
      </c>
      <c r="B119" s="5" t="s">
        <v>79</v>
      </c>
      <c r="C119" s="5" t="str">
        <f t="shared" si="1"/>
        <v>Oil</v>
      </c>
      <c r="D119" s="5"/>
      <c r="E119" s="6">
        <v>2</v>
      </c>
      <c r="F119" s="7">
        <v>55.5</v>
      </c>
      <c r="G119" s="7">
        <v>47.03</v>
      </c>
      <c r="H119" s="5" t="s">
        <v>18</v>
      </c>
      <c r="I119" s="5" t="s">
        <v>19</v>
      </c>
      <c r="J119" s="5" t="s">
        <v>11</v>
      </c>
    </row>
    <row r="120" spans="1:10" x14ac:dyDescent="0.3">
      <c r="A120" s="4">
        <v>44309</v>
      </c>
      <c r="B120" s="5" t="s">
        <v>7</v>
      </c>
      <c r="C120" s="5" t="str">
        <f t="shared" si="1"/>
        <v>Battery</v>
      </c>
      <c r="D120" s="5"/>
      <c r="E120" s="6">
        <v>1</v>
      </c>
      <c r="F120" s="7">
        <v>232.9</v>
      </c>
      <c r="G120" s="7">
        <v>197.37</v>
      </c>
      <c r="H120" s="5" t="s">
        <v>9</v>
      </c>
      <c r="I120" s="5" t="s">
        <v>10</v>
      </c>
      <c r="J120" s="5" t="s">
        <v>11</v>
      </c>
    </row>
    <row r="121" spans="1:10" x14ac:dyDescent="0.3">
      <c r="A121" s="4">
        <v>44310</v>
      </c>
      <c r="B121" s="5" t="s">
        <v>79</v>
      </c>
      <c r="C121" s="5" t="str">
        <f t="shared" si="1"/>
        <v>Oil</v>
      </c>
      <c r="D121" s="5"/>
      <c r="E121" s="6">
        <v>5</v>
      </c>
      <c r="F121" s="7">
        <v>138.75</v>
      </c>
      <c r="G121" s="7">
        <v>117.58</v>
      </c>
      <c r="H121" s="5" t="s">
        <v>18</v>
      </c>
      <c r="I121" s="5" t="s">
        <v>19</v>
      </c>
      <c r="J121" s="5" t="s">
        <v>11</v>
      </c>
    </row>
    <row r="122" spans="1:10" x14ac:dyDescent="0.3">
      <c r="A122" s="4">
        <v>44310</v>
      </c>
      <c r="B122" s="5" t="s">
        <v>113</v>
      </c>
      <c r="C122" s="5" t="str">
        <f t="shared" si="1"/>
        <v>Tire</v>
      </c>
      <c r="D122" s="5"/>
      <c r="E122" s="6">
        <v>4</v>
      </c>
      <c r="F122" s="7">
        <v>396</v>
      </c>
      <c r="G122" s="7">
        <v>335.59</v>
      </c>
      <c r="H122" s="5" t="s">
        <v>23</v>
      </c>
      <c r="I122" s="5" t="s">
        <v>15</v>
      </c>
      <c r="J122" s="5" t="s">
        <v>11</v>
      </c>
    </row>
    <row r="123" spans="1:10" x14ac:dyDescent="0.3">
      <c r="A123" s="4">
        <v>44310</v>
      </c>
      <c r="B123" s="5" t="s">
        <v>114</v>
      </c>
      <c r="C123" s="5" t="str">
        <f t="shared" si="1"/>
        <v>Battery</v>
      </c>
      <c r="D123" s="5"/>
      <c r="E123" s="6">
        <v>1</v>
      </c>
      <c r="F123" s="7">
        <v>172.55</v>
      </c>
      <c r="G123" s="7">
        <v>146.22999999999999</v>
      </c>
      <c r="H123" s="5" t="s">
        <v>9</v>
      </c>
      <c r="I123" s="5" t="s">
        <v>10</v>
      </c>
      <c r="J123" s="5" t="s">
        <v>11</v>
      </c>
    </row>
    <row r="124" spans="1:10" x14ac:dyDescent="0.3">
      <c r="A124" s="4">
        <v>44310</v>
      </c>
      <c r="B124" s="5" t="s">
        <v>115</v>
      </c>
      <c r="C124" s="5" t="s">
        <v>43</v>
      </c>
      <c r="D124" s="5"/>
      <c r="E124" s="6">
        <v>4</v>
      </c>
      <c r="F124" s="7">
        <v>2432</v>
      </c>
      <c r="G124" s="7">
        <v>2061.02</v>
      </c>
      <c r="H124" s="5" t="s">
        <v>116</v>
      </c>
      <c r="I124" s="5" t="s">
        <v>15</v>
      </c>
      <c r="J124" s="5" t="s">
        <v>11</v>
      </c>
    </row>
    <row r="125" spans="1:10" x14ac:dyDescent="0.3">
      <c r="A125" s="4">
        <v>44310</v>
      </c>
      <c r="B125" s="5" t="s">
        <v>117</v>
      </c>
      <c r="C125" s="5" t="str">
        <f t="shared" si="1"/>
        <v>Oil</v>
      </c>
      <c r="D125" s="5"/>
      <c r="E125" s="6">
        <v>4</v>
      </c>
      <c r="F125" s="7">
        <v>126</v>
      </c>
      <c r="G125" s="7">
        <v>106.78</v>
      </c>
      <c r="H125" s="5" t="s">
        <v>18</v>
      </c>
      <c r="I125" s="5" t="s">
        <v>19</v>
      </c>
      <c r="J125" s="5" t="s">
        <v>11</v>
      </c>
    </row>
    <row r="126" spans="1:10" x14ac:dyDescent="0.3">
      <c r="A126" s="4">
        <v>44310</v>
      </c>
      <c r="B126" s="5" t="s">
        <v>77</v>
      </c>
      <c r="C126" s="5" t="str">
        <f t="shared" si="1"/>
        <v>Oil</v>
      </c>
      <c r="D126" s="5"/>
      <c r="E126" s="6">
        <v>4</v>
      </c>
      <c r="F126" s="7">
        <v>90</v>
      </c>
      <c r="G126" s="7">
        <v>76.27</v>
      </c>
      <c r="H126" s="5" t="s">
        <v>18</v>
      </c>
      <c r="I126" s="5" t="s">
        <v>19</v>
      </c>
      <c r="J126" s="5" t="s">
        <v>11</v>
      </c>
    </row>
    <row r="127" spans="1:10" x14ac:dyDescent="0.3">
      <c r="A127" s="4">
        <v>44310</v>
      </c>
      <c r="B127" s="5" t="s">
        <v>77</v>
      </c>
      <c r="C127" s="5" t="str">
        <f t="shared" si="1"/>
        <v>Oil</v>
      </c>
      <c r="D127" s="5"/>
      <c r="E127" s="6">
        <v>4</v>
      </c>
      <c r="F127" s="7">
        <v>90</v>
      </c>
      <c r="G127" s="7">
        <v>76.27</v>
      </c>
      <c r="H127" s="5" t="s">
        <v>18</v>
      </c>
      <c r="I127" s="5" t="s">
        <v>19</v>
      </c>
      <c r="J127" s="5" t="s">
        <v>11</v>
      </c>
    </row>
    <row r="128" spans="1:10" x14ac:dyDescent="0.3">
      <c r="A128" s="4">
        <v>44312</v>
      </c>
      <c r="B128" s="5" t="s">
        <v>118</v>
      </c>
      <c r="C128" s="5" t="str">
        <f t="shared" si="1"/>
        <v>Battery</v>
      </c>
      <c r="D128" s="5"/>
      <c r="E128" s="6">
        <v>1</v>
      </c>
      <c r="F128" s="7">
        <v>317.89</v>
      </c>
      <c r="G128" s="7">
        <v>269.39999999999998</v>
      </c>
      <c r="H128" s="5" t="s">
        <v>9</v>
      </c>
      <c r="I128" s="5" t="s">
        <v>10</v>
      </c>
      <c r="J128" s="5" t="s">
        <v>11</v>
      </c>
    </row>
    <row r="129" spans="1:10" x14ac:dyDescent="0.3">
      <c r="A129" s="4">
        <v>44312</v>
      </c>
      <c r="B129" s="5" t="s">
        <v>119</v>
      </c>
      <c r="C129" s="5" t="str">
        <f t="shared" si="1"/>
        <v>Oil</v>
      </c>
      <c r="D129" s="5"/>
      <c r="E129" s="6">
        <v>6</v>
      </c>
      <c r="F129" s="7">
        <v>282</v>
      </c>
      <c r="G129" s="7">
        <v>238.98</v>
      </c>
      <c r="H129" s="5" t="s">
        <v>74</v>
      </c>
      <c r="I129" s="5" t="s">
        <v>19</v>
      </c>
      <c r="J129" s="5" t="s">
        <v>11</v>
      </c>
    </row>
    <row r="130" spans="1:10" x14ac:dyDescent="0.3">
      <c r="A130" s="4">
        <v>44312</v>
      </c>
      <c r="B130" s="5" t="s">
        <v>51</v>
      </c>
      <c r="C130" s="5" t="str">
        <f t="shared" si="1"/>
        <v>Oil</v>
      </c>
      <c r="D130" s="5"/>
      <c r="E130" s="6">
        <v>8</v>
      </c>
      <c r="F130" s="7">
        <v>192</v>
      </c>
      <c r="G130" s="7">
        <v>162.71</v>
      </c>
      <c r="H130" s="5" t="s">
        <v>18</v>
      </c>
      <c r="I130" s="5" t="s">
        <v>19</v>
      </c>
      <c r="J130" s="5" t="s">
        <v>11</v>
      </c>
    </row>
    <row r="131" spans="1:10" x14ac:dyDescent="0.3">
      <c r="A131" s="4">
        <v>44312</v>
      </c>
      <c r="B131" s="5" t="s">
        <v>120</v>
      </c>
      <c r="C131" s="5" t="str">
        <f t="shared" si="1"/>
        <v>Battery</v>
      </c>
      <c r="D131" s="5"/>
      <c r="E131" s="6">
        <v>1</v>
      </c>
      <c r="F131" s="7">
        <v>275.39999999999998</v>
      </c>
      <c r="G131" s="7">
        <v>233.39</v>
      </c>
      <c r="H131" s="5" t="s">
        <v>9</v>
      </c>
      <c r="I131" s="5" t="s">
        <v>10</v>
      </c>
      <c r="J131" s="5" t="s">
        <v>11</v>
      </c>
    </row>
    <row r="132" spans="1:10" x14ac:dyDescent="0.3">
      <c r="A132" s="4">
        <v>44312</v>
      </c>
      <c r="B132" s="5" t="s">
        <v>121</v>
      </c>
      <c r="C132" s="5" t="str">
        <f t="shared" ref="C132:C192" si="2">IF(LEFT($B132,FIND(" ",$B132)-1)=$D$2,"Oil",IF(LEFT($B132,FIND(" ",$B132)-1)=$D$3,"Battery",IF(LEFT($B132,FIND(" ",$B132)-1)=$D$4,"Tire", "      ")))</f>
        <v>Battery</v>
      </c>
      <c r="D132" s="5"/>
      <c r="E132" s="6">
        <v>1</v>
      </c>
      <c r="F132" s="7">
        <v>691.9</v>
      </c>
      <c r="G132" s="7">
        <v>586.36</v>
      </c>
      <c r="H132" s="5" t="s">
        <v>9</v>
      </c>
      <c r="I132" s="5" t="s">
        <v>10</v>
      </c>
      <c r="J132" s="5" t="s">
        <v>11</v>
      </c>
    </row>
    <row r="133" spans="1:10" x14ac:dyDescent="0.3">
      <c r="A133" s="4">
        <v>44312</v>
      </c>
      <c r="B133" s="5" t="s">
        <v>122</v>
      </c>
      <c r="C133" s="5" t="str">
        <f t="shared" si="2"/>
        <v>Tire</v>
      </c>
      <c r="D133" s="5"/>
      <c r="E133" s="6">
        <v>2</v>
      </c>
      <c r="F133" s="7">
        <v>531</v>
      </c>
      <c r="G133" s="7">
        <v>450</v>
      </c>
      <c r="H133" s="5" t="s">
        <v>23</v>
      </c>
      <c r="I133" s="5" t="s">
        <v>15</v>
      </c>
      <c r="J133" s="5" t="s">
        <v>11</v>
      </c>
    </row>
    <row r="134" spans="1:10" x14ac:dyDescent="0.3">
      <c r="A134" s="4">
        <v>44313</v>
      </c>
      <c r="B134" s="5" t="s">
        <v>123</v>
      </c>
      <c r="C134" s="5" t="str">
        <f t="shared" si="2"/>
        <v>Battery</v>
      </c>
      <c r="D134" s="5"/>
      <c r="E134" s="6">
        <v>1</v>
      </c>
      <c r="F134" s="7">
        <v>587.20000000000005</v>
      </c>
      <c r="G134" s="7">
        <v>497.63</v>
      </c>
      <c r="H134" s="5" t="s">
        <v>124</v>
      </c>
      <c r="I134" s="5" t="s">
        <v>10</v>
      </c>
      <c r="J134" s="5" t="s">
        <v>11</v>
      </c>
    </row>
    <row r="135" spans="1:10" x14ac:dyDescent="0.3">
      <c r="A135" s="4">
        <v>44313</v>
      </c>
      <c r="B135" s="5" t="s">
        <v>125</v>
      </c>
      <c r="C135" s="5" t="str">
        <f t="shared" si="2"/>
        <v>Oil</v>
      </c>
      <c r="D135" s="5"/>
      <c r="E135" s="6">
        <v>5</v>
      </c>
      <c r="F135" s="7">
        <v>135</v>
      </c>
      <c r="G135" s="7">
        <v>114.41</v>
      </c>
      <c r="H135" s="5" t="s">
        <v>18</v>
      </c>
      <c r="I135" s="5" t="s">
        <v>19</v>
      </c>
      <c r="J135" s="5" t="s">
        <v>11</v>
      </c>
    </row>
    <row r="136" spans="1:10" x14ac:dyDescent="0.3">
      <c r="A136" s="4">
        <v>44313</v>
      </c>
      <c r="B136" s="5" t="s">
        <v>126</v>
      </c>
      <c r="C136" s="5" t="str">
        <f t="shared" si="2"/>
        <v>Oil</v>
      </c>
      <c r="D136" s="5"/>
      <c r="E136" s="6">
        <v>16</v>
      </c>
      <c r="F136" s="7">
        <v>403.2</v>
      </c>
      <c r="G136" s="7">
        <v>341.69</v>
      </c>
      <c r="H136" s="5" t="s">
        <v>74</v>
      </c>
      <c r="I136" s="5" t="s">
        <v>19</v>
      </c>
      <c r="J136" s="5" t="s">
        <v>11</v>
      </c>
    </row>
    <row r="137" spans="1:10" x14ac:dyDescent="0.3">
      <c r="A137" s="4">
        <v>44313</v>
      </c>
      <c r="B137" s="5" t="s">
        <v>127</v>
      </c>
      <c r="C137" s="5" t="str">
        <f t="shared" si="2"/>
        <v>Tire</v>
      </c>
      <c r="D137" s="5"/>
      <c r="E137" s="6">
        <v>2</v>
      </c>
      <c r="F137" s="7">
        <v>1216</v>
      </c>
      <c r="G137" s="7">
        <v>1030.51</v>
      </c>
      <c r="H137" s="5" t="s">
        <v>14</v>
      </c>
      <c r="I137" s="5" t="s">
        <v>15</v>
      </c>
      <c r="J137" s="5" t="s">
        <v>11</v>
      </c>
    </row>
    <row r="138" spans="1:10" x14ac:dyDescent="0.3">
      <c r="A138" s="4">
        <v>44313</v>
      </c>
      <c r="B138" s="5" t="s">
        <v>128</v>
      </c>
      <c r="C138" s="5" t="str">
        <f t="shared" si="2"/>
        <v>Tire</v>
      </c>
      <c r="D138" s="5"/>
      <c r="E138" s="6">
        <v>1</v>
      </c>
      <c r="F138" s="7">
        <v>224</v>
      </c>
      <c r="G138" s="7">
        <v>189.83</v>
      </c>
      <c r="H138" s="5" t="s">
        <v>14</v>
      </c>
      <c r="I138" s="5" t="s">
        <v>15</v>
      </c>
      <c r="J138" s="5" t="s">
        <v>11</v>
      </c>
    </row>
    <row r="139" spans="1:10" x14ac:dyDescent="0.3">
      <c r="A139" s="4">
        <v>44313</v>
      </c>
      <c r="B139" s="5" t="s">
        <v>129</v>
      </c>
      <c r="C139" s="5" t="str">
        <f t="shared" si="2"/>
        <v>Oil</v>
      </c>
      <c r="D139" s="5"/>
      <c r="E139" s="6">
        <v>4</v>
      </c>
      <c r="F139" s="7">
        <v>69</v>
      </c>
      <c r="G139" s="7">
        <v>58.47</v>
      </c>
      <c r="H139" s="5" t="s">
        <v>18</v>
      </c>
      <c r="I139" s="5" t="s">
        <v>19</v>
      </c>
      <c r="J139" s="5" t="s">
        <v>11</v>
      </c>
    </row>
    <row r="140" spans="1:10" x14ac:dyDescent="0.3">
      <c r="A140" s="4">
        <v>44313</v>
      </c>
      <c r="B140" s="5" t="s">
        <v>97</v>
      </c>
      <c r="C140" s="5" t="str">
        <f t="shared" si="2"/>
        <v>Oil</v>
      </c>
      <c r="D140" s="5"/>
      <c r="E140" s="6">
        <v>4</v>
      </c>
      <c r="F140" s="7">
        <v>60</v>
      </c>
      <c r="G140" s="7">
        <v>50.85</v>
      </c>
      <c r="H140" s="5" t="s">
        <v>25</v>
      </c>
      <c r="I140" s="5" t="s">
        <v>19</v>
      </c>
      <c r="J140" s="5" t="s">
        <v>11</v>
      </c>
    </row>
    <row r="141" spans="1:10" x14ac:dyDescent="0.3">
      <c r="A141" s="4">
        <v>44313</v>
      </c>
      <c r="B141" s="5" t="s">
        <v>130</v>
      </c>
      <c r="C141" s="5" t="str">
        <f t="shared" si="2"/>
        <v>Tire</v>
      </c>
      <c r="D141" s="5"/>
      <c r="E141" s="6">
        <v>2</v>
      </c>
      <c r="F141" s="7">
        <v>900</v>
      </c>
      <c r="G141" s="7">
        <v>762.71</v>
      </c>
      <c r="H141" s="5" t="s">
        <v>131</v>
      </c>
      <c r="I141" s="5" t="s">
        <v>15</v>
      </c>
      <c r="J141" s="5" t="s">
        <v>11</v>
      </c>
    </row>
    <row r="142" spans="1:10" x14ac:dyDescent="0.3">
      <c r="A142" s="4">
        <v>44313</v>
      </c>
      <c r="B142" s="5" t="s">
        <v>128</v>
      </c>
      <c r="C142" s="5" t="str">
        <f t="shared" si="2"/>
        <v>Tire</v>
      </c>
      <c r="D142" s="5"/>
      <c r="E142" s="6">
        <v>2</v>
      </c>
      <c r="F142" s="7">
        <v>448</v>
      </c>
      <c r="G142" s="7">
        <v>379.66</v>
      </c>
      <c r="H142" s="5" t="s">
        <v>14</v>
      </c>
      <c r="I142" s="5" t="s">
        <v>15</v>
      </c>
      <c r="J142" s="5" t="s">
        <v>11</v>
      </c>
    </row>
    <row r="143" spans="1:10" x14ac:dyDescent="0.3">
      <c r="A143" s="4">
        <v>44313</v>
      </c>
      <c r="B143" s="5" t="s">
        <v>132</v>
      </c>
      <c r="C143" s="5" t="str">
        <f t="shared" si="2"/>
        <v>Tire</v>
      </c>
      <c r="D143" s="5"/>
      <c r="E143" s="6">
        <v>4</v>
      </c>
      <c r="F143" s="7">
        <v>608</v>
      </c>
      <c r="G143" s="7">
        <v>515.25</v>
      </c>
      <c r="H143" s="5" t="s">
        <v>14</v>
      </c>
      <c r="I143" s="5" t="s">
        <v>15</v>
      </c>
      <c r="J143" s="5" t="s">
        <v>11</v>
      </c>
    </row>
    <row r="144" spans="1:10" x14ac:dyDescent="0.3">
      <c r="A144" s="4">
        <v>44314</v>
      </c>
      <c r="B144" s="5" t="s">
        <v>16</v>
      </c>
      <c r="C144" s="5" t="str">
        <f t="shared" si="2"/>
        <v>Oil</v>
      </c>
      <c r="D144" s="5"/>
      <c r="E144" s="6">
        <v>4</v>
      </c>
      <c r="F144" s="7">
        <v>105</v>
      </c>
      <c r="G144" s="7">
        <v>88.98</v>
      </c>
      <c r="H144" s="5" t="s">
        <v>18</v>
      </c>
      <c r="I144" s="5" t="s">
        <v>19</v>
      </c>
      <c r="J144" s="5" t="s">
        <v>11</v>
      </c>
    </row>
    <row r="145" spans="1:10" x14ac:dyDescent="0.3">
      <c r="A145" s="4">
        <v>44314</v>
      </c>
      <c r="B145" s="5" t="s">
        <v>133</v>
      </c>
      <c r="C145" s="5" t="str">
        <f t="shared" si="2"/>
        <v>Battery</v>
      </c>
      <c r="D145" s="5"/>
      <c r="E145" s="6">
        <v>1</v>
      </c>
      <c r="F145" s="7">
        <v>428.4</v>
      </c>
      <c r="G145" s="7">
        <v>363.05</v>
      </c>
      <c r="H145" s="5" t="s">
        <v>9</v>
      </c>
      <c r="I145" s="5" t="s">
        <v>10</v>
      </c>
      <c r="J145" s="5" t="s">
        <v>11</v>
      </c>
    </row>
    <row r="146" spans="1:10" x14ac:dyDescent="0.3">
      <c r="A146" s="4">
        <v>44314</v>
      </c>
      <c r="B146" s="5" t="s">
        <v>134</v>
      </c>
      <c r="C146" s="5" t="s">
        <v>43</v>
      </c>
      <c r="D146" s="5"/>
      <c r="E146" s="6">
        <v>2</v>
      </c>
      <c r="F146" s="7">
        <v>954</v>
      </c>
      <c r="G146" s="7">
        <v>808.47</v>
      </c>
      <c r="H146" s="5" t="s">
        <v>135</v>
      </c>
      <c r="I146" s="5" t="s">
        <v>15</v>
      </c>
      <c r="J146" s="5" t="s">
        <v>11</v>
      </c>
    </row>
    <row r="147" spans="1:10" x14ac:dyDescent="0.3">
      <c r="A147" s="4">
        <v>44314</v>
      </c>
      <c r="B147" s="5" t="s">
        <v>106</v>
      </c>
      <c r="C147" s="5" t="str">
        <f t="shared" si="2"/>
        <v>Oil</v>
      </c>
      <c r="D147" s="5"/>
      <c r="E147" s="6">
        <v>5</v>
      </c>
      <c r="F147" s="7">
        <v>97.5</v>
      </c>
      <c r="G147" s="7">
        <v>82.63</v>
      </c>
      <c r="H147" s="5" t="s">
        <v>25</v>
      </c>
      <c r="I147" s="5" t="s">
        <v>19</v>
      </c>
      <c r="J147" s="5" t="s">
        <v>11</v>
      </c>
    </row>
    <row r="148" spans="1:10" x14ac:dyDescent="0.3">
      <c r="A148" s="4">
        <v>44314</v>
      </c>
      <c r="B148" s="5" t="s">
        <v>136</v>
      </c>
      <c r="C148" s="5" t="str">
        <f t="shared" si="2"/>
        <v>Oil</v>
      </c>
      <c r="D148" s="5"/>
      <c r="E148" s="6">
        <v>3</v>
      </c>
      <c r="F148" s="7">
        <v>63</v>
      </c>
      <c r="G148" s="7">
        <v>53.39</v>
      </c>
      <c r="H148" s="5" t="s">
        <v>25</v>
      </c>
      <c r="I148" s="5" t="s">
        <v>19</v>
      </c>
      <c r="J148" s="5" t="s">
        <v>11</v>
      </c>
    </row>
    <row r="149" spans="1:10" x14ac:dyDescent="0.3">
      <c r="A149" s="4">
        <v>44314</v>
      </c>
      <c r="B149" s="5" t="s">
        <v>7</v>
      </c>
      <c r="C149" s="5" t="str">
        <f t="shared" si="2"/>
        <v>Battery</v>
      </c>
      <c r="D149" s="5"/>
      <c r="E149" s="6">
        <v>1</v>
      </c>
      <c r="F149" s="7">
        <v>232.9</v>
      </c>
      <c r="G149" s="7">
        <v>197.37</v>
      </c>
      <c r="H149" s="5" t="s">
        <v>9</v>
      </c>
      <c r="I149" s="5" t="s">
        <v>10</v>
      </c>
      <c r="J149" s="5" t="s">
        <v>11</v>
      </c>
    </row>
    <row r="150" spans="1:10" x14ac:dyDescent="0.3">
      <c r="A150" s="4">
        <v>44314</v>
      </c>
      <c r="B150" s="5" t="s">
        <v>137</v>
      </c>
      <c r="C150" s="5" t="str">
        <f t="shared" si="2"/>
        <v>Tire</v>
      </c>
      <c r="D150" s="5"/>
      <c r="E150" s="6">
        <v>4</v>
      </c>
      <c r="F150" s="7">
        <v>1984</v>
      </c>
      <c r="G150" s="7">
        <v>1681.36</v>
      </c>
      <c r="H150" s="5" t="s">
        <v>14</v>
      </c>
      <c r="I150" s="5" t="s">
        <v>15</v>
      </c>
      <c r="J150" s="5" t="s">
        <v>11</v>
      </c>
    </row>
    <row r="151" spans="1:10" x14ac:dyDescent="0.3">
      <c r="A151" s="4">
        <v>44314</v>
      </c>
      <c r="B151" s="5" t="s">
        <v>138</v>
      </c>
      <c r="C151" s="5" t="str">
        <f t="shared" si="2"/>
        <v>Tire</v>
      </c>
      <c r="D151" s="5"/>
      <c r="E151" s="6">
        <v>4</v>
      </c>
      <c r="F151" s="7">
        <v>1808</v>
      </c>
      <c r="G151" s="7">
        <v>1532.2</v>
      </c>
      <c r="H151" s="5" t="s">
        <v>14</v>
      </c>
      <c r="I151" s="5" t="s">
        <v>15</v>
      </c>
      <c r="J151" s="5" t="s">
        <v>11</v>
      </c>
    </row>
    <row r="152" spans="1:10" x14ac:dyDescent="0.3">
      <c r="A152" s="4">
        <v>44314</v>
      </c>
      <c r="B152" s="5" t="s">
        <v>56</v>
      </c>
      <c r="C152" s="5" t="str">
        <f t="shared" si="2"/>
        <v>Tire</v>
      </c>
      <c r="D152" s="5"/>
      <c r="E152" s="6">
        <v>2</v>
      </c>
      <c r="F152" s="7">
        <v>936</v>
      </c>
      <c r="G152" s="7">
        <v>793.22</v>
      </c>
      <c r="H152" s="5" t="s">
        <v>14</v>
      </c>
      <c r="I152" s="5" t="s">
        <v>15</v>
      </c>
      <c r="J152" s="5" t="s">
        <v>11</v>
      </c>
    </row>
    <row r="153" spans="1:10" x14ac:dyDescent="0.3">
      <c r="A153" s="4">
        <v>44314</v>
      </c>
      <c r="B153" s="5" t="s">
        <v>51</v>
      </c>
      <c r="C153" s="5" t="str">
        <f t="shared" si="2"/>
        <v>Oil</v>
      </c>
      <c r="D153" s="5"/>
      <c r="E153" s="6">
        <v>5</v>
      </c>
      <c r="F153" s="7">
        <v>120</v>
      </c>
      <c r="G153" s="7">
        <v>101.69</v>
      </c>
      <c r="H153" s="5" t="s">
        <v>18</v>
      </c>
      <c r="I153" s="5" t="s">
        <v>19</v>
      </c>
      <c r="J153" s="5" t="s">
        <v>11</v>
      </c>
    </row>
    <row r="154" spans="1:10" x14ac:dyDescent="0.3">
      <c r="A154" s="4">
        <v>44314</v>
      </c>
      <c r="B154" s="5" t="s">
        <v>89</v>
      </c>
      <c r="C154" s="5" t="str">
        <f t="shared" si="2"/>
        <v>Tire</v>
      </c>
      <c r="D154" s="5"/>
      <c r="E154" s="6">
        <v>4</v>
      </c>
      <c r="F154" s="7">
        <v>1408</v>
      </c>
      <c r="G154" s="7">
        <v>1193.22</v>
      </c>
      <c r="H154" s="5" t="s">
        <v>14</v>
      </c>
      <c r="I154" s="5" t="s">
        <v>15</v>
      </c>
      <c r="J154" s="5" t="s">
        <v>11</v>
      </c>
    </row>
    <row r="155" spans="1:10" x14ac:dyDescent="0.3">
      <c r="A155" s="4">
        <v>44314</v>
      </c>
      <c r="B155" s="5" t="s">
        <v>129</v>
      </c>
      <c r="C155" s="5" t="str">
        <f t="shared" si="2"/>
        <v>Oil</v>
      </c>
      <c r="D155" s="5"/>
      <c r="E155" s="6">
        <v>3</v>
      </c>
      <c r="F155" s="7">
        <v>51.75</v>
      </c>
      <c r="G155" s="7">
        <v>43.86</v>
      </c>
      <c r="H155" s="5" t="s">
        <v>18</v>
      </c>
      <c r="I155" s="5" t="s">
        <v>19</v>
      </c>
      <c r="J155" s="5" t="s">
        <v>11</v>
      </c>
    </row>
    <row r="156" spans="1:10" x14ac:dyDescent="0.3">
      <c r="A156" s="4">
        <v>44314</v>
      </c>
      <c r="B156" s="5" t="s">
        <v>139</v>
      </c>
      <c r="C156" s="5" t="str">
        <f t="shared" si="2"/>
        <v>Tire</v>
      </c>
      <c r="D156" s="5"/>
      <c r="E156" s="6">
        <v>2</v>
      </c>
      <c r="F156" s="7">
        <v>376</v>
      </c>
      <c r="G156" s="7">
        <v>318.64</v>
      </c>
      <c r="H156" s="5" t="s">
        <v>14</v>
      </c>
      <c r="I156" s="5" t="s">
        <v>15</v>
      </c>
      <c r="J156" s="5" t="s">
        <v>11</v>
      </c>
    </row>
    <row r="157" spans="1:10" x14ac:dyDescent="0.3">
      <c r="A157" s="4">
        <v>44314</v>
      </c>
      <c r="B157" s="5" t="s">
        <v>127</v>
      </c>
      <c r="C157" s="5" t="str">
        <f t="shared" si="2"/>
        <v>Tire</v>
      </c>
      <c r="D157" s="5"/>
      <c r="E157" s="6">
        <v>2</v>
      </c>
      <c r="F157" s="7">
        <v>1216</v>
      </c>
      <c r="G157" s="7">
        <v>1030.51</v>
      </c>
      <c r="H157" s="5" t="s">
        <v>14</v>
      </c>
      <c r="I157" s="5" t="s">
        <v>15</v>
      </c>
      <c r="J157" s="5" t="s">
        <v>11</v>
      </c>
    </row>
    <row r="158" spans="1:10" x14ac:dyDescent="0.3">
      <c r="A158" s="4">
        <v>44314</v>
      </c>
      <c r="B158" s="5" t="s">
        <v>140</v>
      </c>
      <c r="C158" s="5" t="str">
        <f t="shared" si="2"/>
        <v>Tire</v>
      </c>
      <c r="D158" s="5"/>
      <c r="E158" s="6">
        <v>2</v>
      </c>
      <c r="F158" s="7">
        <v>1432</v>
      </c>
      <c r="G158" s="7">
        <v>1213.56</v>
      </c>
      <c r="H158" s="5" t="s">
        <v>14</v>
      </c>
      <c r="I158" s="5" t="s">
        <v>15</v>
      </c>
      <c r="J158" s="5" t="s">
        <v>11</v>
      </c>
    </row>
    <row r="159" spans="1:10" x14ac:dyDescent="0.3">
      <c r="A159" s="4">
        <v>44315</v>
      </c>
      <c r="B159" s="5" t="s">
        <v>125</v>
      </c>
      <c r="C159" s="5" t="str">
        <f t="shared" si="2"/>
        <v>Oil</v>
      </c>
      <c r="D159" s="5"/>
      <c r="E159" s="6">
        <v>5</v>
      </c>
      <c r="F159" s="7">
        <v>135</v>
      </c>
      <c r="G159" s="7">
        <v>114.41</v>
      </c>
      <c r="H159" s="5" t="s">
        <v>18</v>
      </c>
      <c r="I159" s="5" t="s">
        <v>19</v>
      </c>
      <c r="J159" s="5" t="s">
        <v>11</v>
      </c>
    </row>
    <row r="160" spans="1:10" x14ac:dyDescent="0.3">
      <c r="A160" s="4">
        <v>44315</v>
      </c>
      <c r="B160" s="5" t="s">
        <v>118</v>
      </c>
      <c r="C160" s="5" t="str">
        <f t="shared" si="2"/>
        <v>Battery</v>
      </c>
      <c r="D160" s="5"/>
      <c r="E160" s="6">
        <v>1</v>
      </c>
      <c r="F160" s="7">
        <v>317.89</v>
      </c>
      <c r="G160" s="7">
        <v>269.39999999999998</v>
      </c>
      <c r="H160" s="5" t="s">
        <v>9</v>
      </c>
      <c r="I160" s="5" t="s">
        <v>10</v>
      </c>
      <c r="J160" s="5" t="s">
        <v>11</v>
      </c>
    </row>
    <row r="161" spans="1:10" x14ac:dyDescent="0.3">
      <c r="A161" s="4">
        <v>44315</v>
      </c>
      <c r="B161" s="5" t="s">
        <v>118</v>
      </c>
      <c r="C161" s="5" t="str">
        <f t="shared" si="2"/>
        <v>Battery</v>
      </c>
      <c r="D161" s="5"/>
      <c r="E161" s="6">
        <v>1</v>
      </c>
      <c r="F161" s="7">
        <v>317.89</v>
      </c>
      <c r="G161" s="7">
        <v>269.39999999999998</v>
      </c>
      <c r="H161" s="5" t="s">
        <v>9</v>
      </c>
      <c r="I161" s="5" t="s">
        <v>10</v>
      </c>
      <c r="J161" s="5" t="s">
        <v>11</v>
      </c>
    </row>
    <row r="162" spans="1:10" x14ac:dyDescent="0.3">
      <c r="A162" s="4">
        <v>44315</v>
      </c>
      <c r="B162" s="5" t="s">
        <v>141</v>
      </c>
      <c r="C162" s="5" t="str">
        <f t="shared" si="2"/>
        <v>Battery</v>
      </c>
      <c r="D162" s="5"/>
      <c r="E162" s="6">
        <v>1</v>
      </c>
      <c r="F162" s="7">
        <v>234.6</v>
      </c>
      <c r="G162" s="7">
        <v>198.81</v>
      </c>
      <c r="H162" s="5" t="s">
        <v>9</v>
      </c>
      <c r="I162" s="5" t="s">
        <v>10</v>
      </c>
      <c r="J162" s="5" t="s">
        <v>11</v>
      </c>
    </row>
    <row r="163" spans="1:10" x14ac:dyDescent="0.3">
      <c r="A163" s="4">
        <v>44315</v>
      </c>
      <c r="B163" s="5" t="s">
        <v>78</v>
      </c>
      <c r="C163" s="5" t="str">
        <f t="shared" si="2"/>
        <v>Oil</v>
      </c>
      <c r="D163" s="5"/>
      <c r="E163" s="6">
        <v>8</v>
      </c>
      <c r="F163" s="7">
        <v>210</v>
      </c>
      <c r="G163" s="7">
        <v>177.97</v>
      </c>
      <c r="H163" s="5" t="s">
        <v>18</v>
      </c>
      <c r="I163" s="5" t="s">
        <v>19</v>
      </c>
      <c r="J163" s="5" t="s">
        <v>11</v>
      </c>
    </row>
    <row r="164" spans="1:10" x14ac:dyDescent="0.3">
      <c r="A164" s="4">
        <v>44315</v>
      </c>
      <c r="B164" s="5" t="s">
        <v>79</v>
      </c>
      <c r="C164" s="5" t="str">
        <f t="shared" si="2"/>
        <v>Oil</v>
      </c>
      <c r="D164" s="5"/>
      <c r="E164" s="6">
        <v>7</v>
      </c>
      <c r="F164" s="7">
        <v>194.25</v>
      </c>
      <c r="G164" s="7">
        <v>164.62</v>
      </c>
      <c r="H164" s="5" t="s">
        <v>18</v>
      </c>
      <c r="I164" s="5" t="s">
        <v>19</v>
      </c>
      <c r="J164" s="5" t="s">
        <v>11</v>
      </c>
    </row>
    <row r="165" spans="1:10" x14ac:dyDescent="0.3">
      <c r="A165" s="4">
        <v>44315</v>
      </c>
      <c r="B165" s="5" t="s">
        <v>142</v>
      </c>
      <c r="C165" s="5" t="str">
        <f t="shared" si="2"/>
        <v>Tire</v>
      </c>
      <c r="D165" s="5"/>
      <c r="E165" s="6">
        <v>4</v>
      </c>
      <c r="F165" s="7">
        <v>1408</v>
      </c>
      <c r="G165" s="7">
        <v>1193.22</v>
      </c>
      <c r="H165" s="5" t="s">
        <v>14</v>
      </c>
      <c r="I165" s="5" t="s">
        <v>15</v>
      </c>
      <c r="J165" s="5" t="s">
        <v>11</v>
      </c>
    </row>
    <row r="166" spans="1:10" x14ac:dyDescent="0.3">
      <c r="A166" s="4">
        <v>44315</v>
      </c>
      <c r="B166" s="5" t="s">
        <v>47</v>
      </c>
      <c r="C166" s="5" t="str">
        <f t="shared" si="2"/>
        <v>Tire</v>
      </c>
      <c r="D166" s="5"/>
      <c r="E166" s="6">
        <v>4</v>
      </c>
      <c r="F166" s="7">
        <v>832</v>
      </c>
      <c r="G166" s="7">
        <v>705.08</v>
      </c>
      <c r="H166" s="5" t="s">
        <v>14</v>
      </c>
      <c r="I166" s="5" t="s">
        <v>15</v>
      </c>
      <c r="J166" s="5" t="s">
        <v>11</v>
      </c>
    </row>
    <row r="167" spans="1:10" x14ac:dyDescent="0.3">
      <c r="A167" s="4">
        <v>44315</v>
      </c>
      <c r="B167" s="5" t="s">
        <v>143</v>
      </c>
      <c r="C167" s="5" t="s">
        <v>43</v>
      </c>
      <c r="D167" s="5"/>
      <c r="E167" s="6">
        <v>4</v>
      </c>
      <c r="F167" s="7">
        <v>504</v>
      </c>
      <c r="G167" s="7">
        <v>427.12</v>
      </c>
      <c r="H167" s="5" t="s">
        <v>144</v>
      </c>
      <c r="I167" s="5" t="s">
        <v>15</v>
      </c>
      <c r="J167" s="5" t="s">
        <v>11</v>
      </c>
    </row>
    <row r="168" spans="1:10" x14ac:dyDescent="0.3">
      <c r="A168" s="4">
        <v>44315</v>
      </c>
      <c r="B168" s="5" t="s">
        <v>81</v>
      </c>
      <c r="C168" s="5" t="str">
        <f t="shared" si="2"/>
        <v>Oil</v>
      </c>
      <c r="D168" s="5"/>
      <c r="E168" s="6">
        <v>1</v>
      </c>
      <c r="F168" s="7">
        <v>24.75</v>
      </c>
      <c r="G168" s="7">
        <v>20.97</v>
      </c>
      <c r="H168" s="5" t="s">
        <v>18</v>
      </c>
      <c r="I168" s="5" t="s">
        <v>19</v>
      </c>
      <c r="J168" s="5" t="s">
        <v>11</v>
      </c>
    </row>
    <row r="169" spans="1:10" x14ac:dyDescent="0.3">
      <c r="A169" s="4">
        <v>44315</v>
      </c>
      <c r="B169" s="5" t="s">
        <v>77</v>
      </c>
      <c r="C169" s="5" t="str">
        <f t="shared" si="2"/>
        <v>Oil</v>
      </c>
      <c r="D169" s="5"/>
      <c r="E169" s="6">
        <v>4</v>
      </c>
      <c r="F169" s="7">
        <v>90</v>
      </c>
      <c r="G169" s="7">
        <v>76.28</v>
      </c>
      <c r="H169" s="5" t="s">
        <v>18</v>
      </c>
      <c r="I169" s="5" t="s">
        <v>19</v>
      </c>
      <c r="J169" s="5" t="s">
        <v>11</v>
      </c>
    </row>
    <row r="170" spans="1:10" x14ac:dyDescent="0.3">
      <c r="A170" s="4">
        <v>44315</v>
      </c>
      <c r="B170" s="5" t="s">
        <v>72</v>
      </c>
      <c r="C170" s="5" t="str">
        <f t="shared" si="2"/>
        <v>Oil</v>
      </c>
      <c r="D170" s="5"/>
      <c r="E170" s="6">
        <v>4</v>
      </c>
      <c r="F170" s="7">
        <v>69</v>
      </c>
      <c r="G170" s="7">
        <v>58.47</v>
      </c>
      <c r="H170" s="5" t="s">
        <v>18</v>
      </c>
      <c r="I170" s="5" t="s">
        <v>19</v>
      </c>
      <c r="J170" s="5" t="s">
        <v>11</v>
      </c>
    </row>
    <row r="171" spans="1:10" x14ac:dyDescent="0.3">
      <c r="A171" s="4">
        <v>44315</v>
      </c>
      <c r="B171" s="5" t="s">
        <v>28</v>
      </c>
      <c r="C171" s="5" t="str">
        <f t="shared" si="2"/>
        <v>Battery</v>
      </c>
      <c r="D171" s="5"/>
      <c r="E171" s="6">
        <v>1</v>
      </c>
      <c r="F171" s="7">
        <v>411.4</v>
      </c>
      <c r="G171" s="7">
        <v>348.64</v>
      </c>
      <c r="H171" s="5" t="s">
        <v>9</v>
      </c>
      <c r="I171" s="5" t="s">
        <v>10</v>
      </c>
      <c r="J171" s="5" t="s">
        <v>11</v>
      </c>
    </row>
    <row r="172" spans="1:10" x14ac:dyDescent="0.3">
      <c r="A172" s="4">
        <v>44315</v>
      </c>
      <c r="B172" s="5" t="s">
        <v>145</v>
      </c>
      <c r="C172" s="5" t="str">
        <f t="shared" si="2"/>
        <v>Battery</v>
      </c>
      <c r="D172" s="5"/>
      <c r="E172" s="6">
        <v>1</v>
      </c>
      <c r="F172" s="7">
        <v>143.65</v>
      </c>
      <c r="G172" s="7">
        <v>121.74</v>
      </c>
      <c r="H172" s="5" t="s">
        <v>9</v>
      </c>
      <c r="I172" s="5" t="s">
        <v>10</v>
      </c>
      <c r="J172" s="5" t="s">
        <v>11</v>
      </c>
    </row>
    <row r="173" spans="1:10" x14ac:dyDescent="0.3">
      <c r="A173" s="4">
        <v>44316</v>
      </c>
      <c r="B173" s="5" t="s">
        <v>146</v>
      </c>
      <c r="C173" s="5" t="s">
        <v>43</v>
      </c>
      <c r="D173" s="5"/>
      <c r="E173" s="6">
        <v>4</v>
      </c>
      <c r="F173" s="7">
        <v>1152</v>
      </c>
      <c r="G173" s="7">
        <v>976.27</v>
      </c>
      <c r="H173" s="5" t="s">
        <v>14</v>
      </c>
      <c r="I173" s="5" t="s">
        <v>15</v>
      </c>
      <c r="J173" s="5" t="s">
        <v>11</v>
      </c>
    </row>
    <row r="174" spans="1:10" x14ac:dyDescent="0.3">
      <c r="A174" s="4">
        <v>44316</v>
      </c>
      <c r="B174" s="5" t="s">
        <v>147</v>
      </c>
      <c r="C174" s="5" t="str">
        <f t="shared" si="2"/>
        <v>Oil</v>
      </c>
      <c r="D174" s="5"/>
      <c r="E174" s="6">
        <v>1</v>
      </c>
      <c r="F174" s="7">
        <v>36</v>
      </c>
      <c r="G174" s="7">
        <v>30.51</v>
      </c>
      <c r="H174" s="5" t="s">
        <v>74</v>
      </c>
      <c r="I174" s="5" t="s">
        <v>19</v>
      </c>
      <c r="J174" s="5" t="s">
        <v>11</v>
      </c>
    </row>
    <row r="175" spans="1:10" x14ac:dyDescent="0.3">
      <c r="A175" s="4">
        <v>44316</v>
      </c>
      <c r="B175" s="5" t="s">
        <v>28</v>
      </c>
      <c r="C175" s="5" t="str">
        <f t="shared" si="2"/>
        <v>Battery</v>
      </c>
      <c r="D175" s="5"/>
      <c r="E175" s="6">
        <v>1</v>
      </c>
      <c r="F175" s="7">
        <v>411.4</v>
      </c>
      <c r="G175" s="7">
        <v>348.64</v>
      </c>
      <c r="H175" s="5" t="s">
        <v>9</v>
      </c>
      <c r="I175" s="5" t="s">
        <v>10</v>
      </c>
      <c r="J175" s="5" t="s">
        <v>11</v>
      </c>
    </row>
    <row r="176" spans="1:10" x14ac:dyDescent="0.3">
      <c r="A176" s="4">
        <v>44316</v>
      </c>
      <c r="B176" s="5" t="s">
        <v>16</v>
      </c>
      <c r="C176" s="5" t="str">
        <f t="shared" si="2"/>
        <v>Oil</v>
      </c>
      <c r="D176" s="5"/>
      <c r="E176" s="6">
        <v>4</v>
      </c>
      <c r="F176" s="7">
        <v>105</v>
      </c>
      <c r="G176" s="7">
        <v>88.98</v>
      </c>
      <c r="H176" s="5" t="s">
        <v>18</v>
      </c>
      <c r="I176" s="5" t="s">
        <v>19</v>
      </c>
      <c r="J176" s="5" t="s">
        <v>11</v>
      </c>
    </row>
    <row r="177" spans="1:10" x14ac:dyDescent="0.3">
      <c r="A177" s="4">
        <v>44316</v>
      </c>
      <c r="B177" s="5" t="s">
        <v>16</v>
      </c>
      <c r="C177" s="5" t="str">
        <f t="shared" si="2"/>
        <v>Oil</v>
      </c>
      <c r="D177" s="5"/>
      <c r="E177" s="6">
        <v>4</v>
      </c>
      <c r="F177" s="7">
        <v>105</v>
      </c>
      <c r="G177" s="7">
        <v>88.98</v>
      </c>
      <c r="H177" s="5" t="s">
        <v>18</v>
      </c>
      <c r="I177" s="5" t="s">
        <v>19</v>
      </c>
      <c r="J177" s="5" t="s">
        <v>11</v>
      </c>
    </row>
    <row r="178" spans="1:10" x14ac:dyDescent="0.3">
      <c r="A178" s="4">
        <v>44316</v>
      </c>
      <c r="B178" s="5" t="s">
        <v>148</v>
      </c>
      <c r="C178" s="5" t="str">
        <f t="shared" si="2"/>
        <v>Oil</v>
      </c>
      <c r="D178" s="5"/>
      <c r="E178" s="6">
        <v>6</v>
      </c>
      <c r="F178" s="7">
        <v>108</v>
      </c>
      <c r="G178" s="7">
        <v>91.53</v>
      </c>
      <c r="H178" s="5" t="s">
        <v>18</v>
      </c>
      <c r="I178" s="5" t="s">
        <v>19</v>
      </c>
      <c r="J178" s="5" t="s">
        <v>11</v>
      </c>
    </row>
    <row r="179" spans="1:10" x14ac:dyDescent="0.3">
      <c r="A179" s="4">
        <v>44316</v>
      </c>
      <c r="B179" s="5" t="s">
        <v>149</v>
      </c>
      <c r="C179" s="5" t="str">
        <f t="shared" si="2"/>
        <v>Oil</v>
      </c>
      <c r="D179" s="5"/>
      <c r="E179" s="6">
        <v>4</v>
      </c>
      <c r="F179" s="7">
        <v>78</v>
      </c>
      <c r="G179" s="7">
        <v>66.099999999999994</v>
      </c>
      <c r="H179" s="5" t="s">
        <v>18</v>
      </c>
      <c r="I179" s="5" t="s">
        <v>19</v>
      </c>
      <c r="J179" s="5" t="s">
        <v>11</v>
      </c>
    </row>
    <row r="180" spans="1:10" x14ac:dyDescent="0.3">
      <c r="A180" s="4">
        <v>44316</v>
      </c>
      <c r="B180" s="5" t="s">
        <v>150</v>
      </c>
      <c r="C180" s="5" t="str">
        <f t="shared" si="2"/>
        <v>Oil</v>
      </c>
      <c r="D180" s="5"/>
      <c r="E180" s="6">
        <v>1</v>
      </c>
      <c r="F180" s="7">
        <v>20.25</v>
      </c>
      <c r="G180" s="7">
        <v>17.16</v>
      </c>
      <c r="H180" s="5" t="s">
        <v>18</v>
      </c>
      <c r="I180" s="5" t="s">
        <v>19</v>
      </c>
      <c r="J180" s="5" t="s">
        <v>11</v>
      </c>
    </row>
    <row r="181" spans="1:10" x14ac:dyDescent="0.3">
      <c r="A181" s="4">
        <v>44316</v>
      </c>
      <c r="B181" s="5" t="s">
        <v>151</v>
      </c>
      <c r="C181" s="5" t="s">
        <v>43</v>
      </c>
      <c r="D181" s="5"/>
      <c r="E181" s="6">
        <v>2</v>
      </c>
      <c r="F181" s="7">
        <v>513</v>
      </c>
      <c r="G181" s="7">
        <v>434.75</v>
      </c>
      <c r="H181" s="5" t="s">
        <v>131</v>
      </c>
      <c r="I181" s="5" t="s">
        <v>15</v>
      </c>
      <c r="J181" s="5" t="s">
        <v>11</v>
      </c>
    </row>
    <row r="182" spans="1:10" x14ac:dyDescent="0.3">
      <c r="A182" s="4">
        <v>44316</v>
      </c>
      <c r="B182" s="5" t="s">
        <v>152</v>
      </c>
      <c r="C182" s="5" t="str">
        <f t="shared" si="2"/>
        <v>Battery</v>
      </c>
      <c r="D182" s="5"/>
      <c r="E182" s="6">
        <v>1</v>
      </c>
      <c r="F182" s="7">
        <v>118.15</v>
      </c>
      <c r="G182" s="7">
        <v>100.13</v>
      </c>
      <c r="H182" s="5" t="s">
        <v>9</v>
      </c>
      <c r="I182" s="5" t="s">
        <v>10</v>
      </c>
      <c r="J182" s="5" t="s">
        <v>11</v>
      </c>
    </row>
    <row r="183" spans="1:10" x14ac:dyDescent="0.3">
      <c r="A183" s="4">
        <v>44316</v>
      </c>
      <c r="B183" s="5" t="s">
        <v>118</v>
      </c>
      <c r="C183" s="5" t="str">
        <f t="shared" si="2"/>
        <v>Battery</v>
      </c>
      <c r="D183" s="5"/>
      <c r="E183" s="6">
        <v>1</v>
      </c>
      <c r="F183" s="7">
        <v>317.89</v>
      </c>
      <c r="G183" s="7">
        <v>269.39999999999998</v>
      </c>
      <c r="H183" s="5" t="s">
        <v>9</v>
      </c>
      <c r="I183" s="5" t="s">
        <v>10</v>
      </c>
      <c r="J183" s="5" t="s">
        <v>11</v>
      </c>
    </row>
    <row r="184" spans="1:10" x14ac:dyDescent="0.3">
      <c r="A184" s="4">
        <v>44293</v>
      </c>
      <c r="B184" s="5" t="s">
        <v>153</v>
      </c>
      <c r="C184" s="5" t="str">
        <f t="shared" si="2"/>
        <v>Tire</v>
      </c>
      <c r="E184" s="6">
        <v>4</v>
      </c>
      <c r="F184" s="7">
        <v>592</v>
      </c>
      <c r="G184" s="7">
        <v>501.69</v>
      </c>
      <c r="H184" s="5" t="s">
        <v>14</v>
      </c>
      <c r="I184" s="5" t="s">
        <v>15</v>
      </c>
      <c r="J184" s="5" t="s">
        <v>11</v>
      </c>
    </row>
    <row r="185" spans="1:10" x14ac:dyDescent="0.3">
      <c r="A185" s="4">
        <v>44294</v>
      </c>
      <c r="B185" s="5" t="s">
        <v>154</v>
      </c>
      <c r="C185" s="5" t="str">
        <f t="shared" si="2"/>
        <v>Oil</v>
      </c>
      <c r="E185" s="6">
        <v>3</v>
      </c>
      <c r="F185" s="7">
        <v>112.5</v>
      </c>
      <c r="G185" s="7">
        <v>95.34</v>
      </c>
      <c r="H185" s="5" t="s">
        <v>25</v>
      </c>
      <c r="I185" s="5" t="s">
        <v>19</v>
      </c>
      <c r="J185" s="5" t="s">
        <v>11</v>
      </c>
    </row>
    <row r="186" spans="1:10" x14ac:dyDescent="0.3">
      <c r="A186" s="4">
        <v>44294</v>
      </c>
      <c r="B186" s="5" t="s">
        <v>155</v>
      </c>
      <c r="C186" s="5" t="str">
        <f t="shared" si="2"/>
        <v>Oil</v>
      </c>
      <c r="E186" s="6">
        <v>4</v>
      </c>
      <c r="F186" s="7">
        <v>180</v>
      </c>
      <c r="G186" s="7">
        <v>152.54</v>
      </c>
      <c r="H186" s="5" t="s">
        <v>71</v>
      </c>
      <c r="I186" s="5" t="s">
        <v>19</v>
      </c>
      <c r="J186" s="5" t="s">
        <v>11</v>
      </c>
    </row>
    <row r="187" spans="1:10" x14ac:dyDescent="0.3">
      <c r="A187" s="4">
        <v>44294</v>
      </c>
      <c r="B187" s="5" t="s">
        <v>156</v>
      </c>
      <c r="C187" s="5" t="str">
        <f t="shared" si="2"/>
        <v>Oil</v>
      </c>
      <c r="E187" s="6">
        <v>6</v>
      </c>
      <c r="F187" s="7">
        <v>202.5</v>
      </c>
      <c r="G187" s="7">
        <v>171.61</v>
      </c>
      <c r="H187" s="5" t="s">
        <v>25</v>
      </c>
      <c r="I187" s="5" t="s">
        <v>19</v>
      </c>
      <c r="J187" s="5" t="s">
        <v>11</v>
      </c>
    </row>
    <row r="188" spans="1:10" x14ac:dyDescent="0.3">
      <c r="A188" s="4">
        <v>44294</v>
      </c>
      <c r="B188" s="5" t="s">
        <v>65</v>
      </c>
      <c r="C188" s="5" t="str">
        <f t="shared" si="2"/>
        <v>Oil</v>
      </c>
      <c r="E188" s="6">
        <v>5</v>
      </c>
      <c r="F188" s="7">
        <v>112.5</v>
      </c>
      <c r="G188" s="7">
        <v>95.34</v>
      </c>
      <c r="H188" s="5" t="s">
        <v>25</v>
      </c>
      <c r="I188" s="5" t="s">
        <v>19</v>
      </c>
      <c r="J188" s="5" t="s">
        <v>11</v>
      </c>
    </row>
    <row r="189" spans="1:10" x14ac:dyDescent="0.3">
      <c r="A189" s="4">
        <v>44298</v>
      </c>
      <c r="B189" s="5" t="s">
        <v>12</v>
      </c>
      <c r="C189" s="5" t="str">
        <f t="shared" si="2"/>
        <v>Tire</v>
      </c>
      <c r="E189" s="6">
        <v>-4</v>
      </c>
      <c r="F189" s="7">
        <v>-560</v>
      </c>
      <c r="G189" s="7">
        <v>-474.58</v>
      </c>
      <c r="H189" s="5" t="s">
        <v>14</v>
      </c>
      <c r="I189" s="5" t="s">
        <v>15</v>
      </c>
      <c r="J189" s="5" t="s">
        <v>11</v>
      </c>
    </row>
    <row r="190" spans="1:10" x14ac:dyDescent="0.3">
      <c r="A190" s="4">
        <v>44298</v>
      </c>
      <c r="B190" s="5" t="s">
        <v>12</v>
      </c>
      <c r="C190" s="5" t="str">
        <f t="shared" si="2"/>
        <v>Tire</v>
      </c>
      <c r="E190" s="6">
        <v>4</v>
      </c>
      <c r="F190" s="7">
        <v>560</v>
      </c>
      <c r="G190" s="7">
        <v>474.58</v>
      </c>
      <c r="H190" s="5" t="s">
        <v>14</v>
      </c>
      <c r="I190" s="5" t="s">
        <v>15</v>
      </c>
      <c r="J190" s="5" t="s">
        <v>11</v>
      </c>
    </row>
    <row r="191" spans="1:10" x14ac:dyDescent="0.3">
      <c r="A191" s="4">
        <v>44313</v>
      </c>
      <c r="B191" s="5" t="s">
        <v>157</v>
      </c>
      <c r="C191" s="5" t="s">
        <v>43</v>
      </c>
      <c r="E191" s="6">
        <v>4</v>
      </c>
      <c r="F191" s="7">
        <v>1168</v>
      </c>
      <c r="G191" s="7">
        <v>989.83</v>
      </c>
      <c r="H191" s="5" t="s">
        <v>116</v>
      </c>
      <c r="I191" s="5" t="s">
        <v>15</v>
      </c>
      <c r="J191" s="5" t="s">
        <v>11</v>
      </c>
    </row>
    <row r="192" spans="1:10" x14ac:dyDescent="0.3">
      <c r="A192" s="4">
        <v>44316</v>
      </c>
      <c r="B192" s="5" t="s">
        <v>118</v>
      </c>
      <c r="C192" s="5" t="str">
        <f t="shared" si="2"/>
        <v>Battery</v>
      </c>
      <c r="E192" s="6">
        <v>-1</v>
      </c>
      <c r="F192" s="7">
        <v>-317.89</v>
      </c>
      <c r="G192" s="7">
        <v>-269.39999999999998</v>
      </c>
      <c r="H192" s="5" t="s">
        <v>9</v>
      </c>
      <c r="I192" s="5" t="s">
        <v>10</v>
      </c>
      <c r="J192" s="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Nick Chesterfield</cp:lastModifiedBy>
  <dcterms:created xsi:type="dcterms:W3CDTF">2021-07-16T15:06:21Z</dcterms:created>
  <dcterms:modified xsi:type="dcterms:W3CDTF">2021-07-29T18:10:17Z</dcterms:modified>
</cp:coreProperties>
</file>