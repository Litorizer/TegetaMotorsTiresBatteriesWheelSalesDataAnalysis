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c\Desktop\FilteredDataNewNikaNuka\"/>
    </mc:Choice>
  </mc:AlternateContent>
  <xr:revisionPtr revIDLastSave="0" documentId="13_ncr:1_{CE2CC225-D15C-478D-A905-F812A711C254}" xr6:coauthVersionLast="47" xr6:coauthVersionMax="47" xr10:uidLastSave="{00000000-0000-0000-0000-000000000000}"/>
  <bookViews>
    <workbookView xWindow="-108" yWindow="-108" windowWidth="23256" windowHeight="12576" xr2:uid="{D05B19DB-E47E-7F43-907E-F4848364B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1" i="1" l="1"/>
  <c r="C178" i="1"/>
  <c r="C179" i="1"/>
  <c r="C180" i="1"/>
  <c r="C177" i="1"/>
  <c r="C319" i="1"/>
  <c r="C252" i="1"/>
  <c r="C121" i="1"/>
  <c r="C44" i="1"/>
  <c r="C34" i="1"/>
  <c r="C318" i="1"/>
  <c r="C317" i="1"/>
  <c r="C316" i="1"/>
  <c r="C315" i="1"/>
  <c r="C314" i="1"/>
  <c r="C313" i="1"/>
  <c r="C312" i="1"/>
  <c r="C310" i="1"/>
  <c r="C309" i="1"/>
  <c r="C308" i="1"/>
  <c r="C307" i="1"/>
  <c r="C306" i="1"/>
  <c r="C305" i="1"/>
  <c r="C304" i="1"/>
  <c r="C303" i="1"/>
  <c r="C302" i="1"/>
  <c r="C299" i="1"/>
  <c r="C298" i="1"/>
  <c r="C296" i="1"/>
  <c r="C295" i="1"/>
  <c r="C293" i="1"/>
  <c r="C292" i="1"/>
  <c r="C291" i="1"/>
  <c r="C290" i="1"/>
  <c r="C289" i="1"/>
  <c r="C288" i="1"/>
  <c r="C284" i="1"/>
  <c r="C283" i="1"/>
  <c r="C282" i="1"/>
  <c r="C281" i="1"/>
  <c r="C279" i="1"/>
  <c r="C278" i="1"/>
  <c r="C277" i="1"/>
  <c r="C276" i="1"/>
  <c r="C275" i="1"/>
  <c r="C274" i="1"/>
  <c r="C273" i="1"/>
  <c r="C272" i="1"/>
  <c r="C270" i="1"/>
  <c r="C269" i="1"/>
  <c r="C271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0" i="1"/>
  <c r="C249" i="1"/>
  <c r="C248" i="1"/>
  <c r="C247" i="1"/>
  <c r="C246" i="1"/>
  <c r="C245" i="1"/>
  <c r="C243" i="1"/>
  <c r="C242" i="1"/>
  <c r="C240" i="1"/>
  <c r="C239" i="1"/>
  <c r="C238" i="1"/>
  <c r="C237" i="1"/>
  <c r="C231" i="1"/>
  <c r="C228" i="1"/>
  <c r="C227" i="1"/>
  <c r="C225" i="1"/>
  <c r="C223" i="1"/>
  <c r="C222" i="1"/>
  <c r="C220" i="1"/>
  <c r="C219" i="1"/>
  <c r="C216" i="1"/>
  <c r="C215" i="1"/>
  <c r="C214" i="1"/>
  <c r="C213" i="1"/>
  <c r="C211" i="1"/>
  <c r="C210" i="1"/>
  <c r="C209" i="1"/>
  <c r="C208" i="1"/>
  <c r="C207" i="1"/>
  <c r="C205" i="1"/>
  <c r="C204" i="1"/>
  <c r="C203" i="1"/>
  <c r="C202" i="1"/>
  <c r="C201" i="1"/>
  <c r="C200" i="1"/>
  <c r="C199" i="1"/>
  <c r="C198" i="1"/>
  <c r="C197" i="1"/>
  <c r="C196" i="1"/>
  <c r="C195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76" i="1"/>
  <c r="C175" i="1"/>
  <c r="C173" i="1"/>
  <c r="C170" i="1"/>
  <c r="C169" i="1"/>
  <c r="C167" i="1"/>
  <c r="C165" i="1"/>
  <c r="C164" i="1"/>
  <c r="C163" i="1"/>
  <c r="C162" i="1"/>
  <c r="C160" i="1"/>
  <c r="C159" i="1"/>
  <c r="C158" i="1"/>
  <c r="C157" i="1"/>
  <c r="C156" i="1"/>
  <c r="C155" i="1"/>
  <c r="C154" i="1"/>
  <c r="C153" i="1"/>
  <c r="C152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29" i="1"/>
  <c r="C130" i="1"/>
  <c r="C128" i="1"/>
  <c r="C127" i="1"/>
  <c r="C126" i="1"/>
  <c r="C125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3" i="1"/>
  <c r="C42" i="1"/>
  <c r="C41" i="1"/>
  <c r="C40" i="1"/>
  <c r="C39" i="1"/>
  <c r="C38" i="1"/>
  <c r="C37" i="1"/>
  <c r="C36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301" i="1"/>
  <c r="C280" i="1"/>
  <c r="C35" i="1"/>
</calcChain>
</file>

<file path=xl/sharedStrings.xml><?xml version="1.0" encoding="utf-8"?>
<sst xmlns="http://schemas.openxmlformats.org/spreadsheetml/2006/main" count="741" uniqueCount="215">
  <si>
    <t>Category</t>
  </si>
  <si>
    <t>ღირებულება ბრუტო(GEL)</t>
  </si>
  <si>
    <t>ღირებულება ნეტო(GEL)</t>
  </si>
  <si>
    <t>ბრენდი</t>
  </si>
  <si>
    <t>სექტორი</t>
  </si>
  <si>
    <t>მაღაზია</t>
  </si>
  <si>
    <t>კლიენტი</t>
  </si>
  <si>
    <t>ზეთი</t>
  </si>
  <si>
    <t>აკუმულატორი</t>
  </si>
  <si>
    <t>საბურ. BF Good. 215/65R16 103/100S KO2</t>
  </si>
  <si>
    <t>საბურ.</t>
  </si>
  <si>
    <t>BF GOODRICH</t>
  </si>
  <si>
    <t>საბ. Dunlop 265/65R17 AT DEMO</t>
  </si>
  <si>
    <t>OTHER</t>
  </si>
  <si>
    <t>აკუმულატორი VARTA BLU E23 70 ა*ს JIS R+</t>
  </si>
  <si>
    <t>VARTA</t>
  </si>
  <si>
    <t>აკუმულატორი VARTA SIL AGM H15 105 ა*ს R+</t>
  </si>
  <si>
    <t>აკუმულატორი VARTA BLU A15 40 ა*ს JIS3 L+</t>
  </si>
  <si>
    <t>ზეთი SHELL HELIX HX8 5W30 ECT C3 5L</t>
  </si>
  <si>
    <t>SHELL</t>
  </si>
  <si>
    <t>ზეთი SHELL HELIX ULTRA 5W40 4L</t>
  </si>
  <si>
    <t>აკუმულატორი VARTA BLU G8 95 ა*ს JIS L+</t>
  </si>
  <si>
    <t>აკუმულატორი VARTA BLU D24 60 ა*ს R+</t>
  </si>
  <si>
    <t>აკუმულატორი VARTA SIL AGM E39 70 ა*ს R+</t>
  </si>
  <si>
    <t>ზეთი ჰიდრ. MOTUL MULTI HF 1L</t>
  </si>
  <si>
    <t>MOTUL</t>
  </si>
  <si>
    <t>ზეთი ძრავის TITAN SUPERSYN 5W30 205L</t>
  </si>
  <si>
    <t>FUCHS TITAN</t>
  </si>
  <si>
    <t>აკუმულატორი VARTA SIL I1 110 ა*ს R+</t>
  </si>
  <si>
    <t>ზეთი SHELL SPIRAX S5 ATF X (29934) 1L</t>
  </si>
  <si>
    <t>აკუმულატორი VARTA SIL AGM G14 95 ა*ს R+</t>
  </si>
  <si>
    <t>აკუმულატორი VARTA BLU B31 45 ა*ს JIS3 R+</t>
  </si>
  <si>
    <t>საბურ. Riken 205/60R15 91H Road Perf.</t>
  </si>
  <si>
    <t>RIKEN</t>
  </si>
  <si>
    <t>აკუმულატორი VARTA BLU B33 45 ა*ს JIS3 L+</t>
  </si>
  <si>
    <t>საბურ. Firestone 175/70R14 84T FS10</t>
  </si>
  <si>
    <t>FIRESTONE</t>
  </si>
  <si>
    <t>აკუმულატორი VARTA SIL H3 100 ა*ს R+</t>
  </si>
  <si>
    <t>საბურ. BSIN 205/65R15 94H EP150</t>
  </si>
  <si>
    <t>BRIDGESTONE</t>
  </si>
  <si>
    <t>საბურ. Hifly 195/65R15 Win-Turi 212</t>
  </si>
  <si>
    <t>HIFLY</t>
  </si>
  <si>
    <t>ზეთი SHELL HELIX ULTRA 5W40 1L</t>
  </si>
  <si>
    <t>აკუმულატორი VARTA BLU A14 40 ა*ს JIS3 R+</t>
  </si>
  <si>
    <t>ზეთი SHELL HELIX ULTRA 5W30 1L</t>
  </si>
  <si>
    <t>ზეთი SHELL HELIX ULTRA 5W30 4L</t>
  </si>
  <si>
    <t>საბურ. BST 235/40R18 95W RE003</t>
  </si>
  <si>
    <t>საბურ. BSJ 255/60R17 DMV2 106S</t>
  </si>
  <si>
    <t>აკუმულატორი VARTA SIL D15 63 ა*ს R+</t>
  </si>
  <si>
    <t>საბურ. BST 205/55R16 EP300</t>
  </si>
  <si>
    <t>ზეთი SHELL HELIX ULTRA SN 0W20 5L</t>
  </si>
  <si>
    <t>საბურ. BST 255/70R15 108H EP850</t>
  </si>
  <si>
    <t>აკუმულატორი VARTA SIL E38 74 ა*ს R+</t>
  </si>
  <si>
    <t>ზეთი SHELL HELIX ULTRA 5W30 209L</t>
  </si>
  <si>
    <t>საბურ. BST 245/40R17 RE003</t>
  </si>
  <si>
    <t>საბურ. BST 225/45R17 91V EP300</t>
  </si>
  <si>
    <t>ზეთი ძრ. MOTUL 8100 X-Cess 5W30 1L</t>
  </si>
  <si>
    <t>საბურ. BSIN 175/65R14 82H EP150</t>
  </si>
  <si>
    <t>აკუმულატორი BEX 60 ა*ს მარჯ.</t>
  </si>
  <si>
    <t>BEX</t>
  </si>
  <si>
    <t>აკუმულატორი BEX 45 ა*ს JIS მარჯ.</t>
  </si>
  <si>
    <t>საბურ. Riken 165/70R14 81T Road</t>
  </si>
  <si>
    <t>ზეთი SHELL HELIX ULTRA SN 0W20 1L</t>
  </si>
  <si>
    <t>აკუმულატორი BEX 100 ა*ს მარჯ.</t>
  </si>
  <si>
    <t>ზეთი ძრ. MOTUL HYBRID 0W20 4L</t>
  </si>
  <si>
    <t>აკუმულატორი BEX 75 ა*ს მარჯ.</t>
  </si>
  <si>
    <t>საბურ. BST 215/55R17 EP300</t>
  </si>
  <si>
    <t>ზეთი ძრ. MOTUL HYBRID 0W20 1L</t>
  </si>
  <si>
    <t>საბურ. Haida 205/55R16 HD617</t>
  </si>
  <si>
    <t>HAIDA</t>
  </si>
  <si>
    <t>აკუმულატორი Exide AGM EK1050 105 ა*ს R+</t>
  </si>
  <si>
    <t>EXIDE</t>
  </si>
  <si>
    <t>ზეთი ძრ. MOTUL KART GRAND PRIX 2T   1L</t>
  </si>
  <si>
    <t>ზეთი ძრ. MOTUL 5100 10W40 4T   2L</t>
  </si>
  <si>
    <t>საბურ. Hifly 225/60R17 99H HT601</t>
  </si>
  <si>
    <t>აკუმულატორი Macpower 36 ა*ს JIS მარჯ.</t>
  </si>
  <si>
    <t>MACPOWER</t>
  </si>
  <si>
    <t>საბურ. BST 235/45R17 94W RE003</t>
  </si>
  <si>
    <t>აკუმულატორი VARTA BLU D47 60 ა*ს JIS R+</t>
  </si>
  <si>
    <t>ზეთი ძრ. MOTUL 7100 10W50 4T   4L</t>
  </si>
  <si>
    <t>ზეთი ტრანს. TITAN SINTOPOID FE 75W85 1L</t>
  </si>
  <si>
    <t>ზეთი SHELL HELIX HX5 15W40 4L</t>
  </si>
  <si>
    <t>საბურ. BSJ 255/60R18 112V DHPS</t>
  </si>
  <si>
    <t>ზეთი ძრ. MOTUL 8100 ECO-Nergy 5W30 208L</t>
  </si>
  <si>
    <t>საბურ. Hifly 245/40R17 95W HF805</t>
  </si>
  <si>
    <t>საბურ. Hifly 225/45R17 94W HF805</t>
  </si>
  <si>
    <t>აკუმულატორი VARTA BLU G7 95 ა*ს JIS R+</t>
  </si>
  <si>
    <t>საბურ. BSJ 235/55R19  DMV2</t>
  </si>
  <si>
    <t>საბურ. BSJ 245/40R18 97Y S001</t>
  </si>
  <si>
    <t>აკუმულატორი VARTA BLU E24 70 ა*ს JIS L+</t>
  </si>
  <si>
    <t>ზეთი SHELL HELIX HX7 10W40 4L</t>
  </si>
  <si>
    <t>აკუმულატორი Exide PR EA755 75 ა*ს JIS L+</t>
  </si>
  <si>
    <t>საბურ. BST 195/50R15 RE003 82W</t>
  </si>
  <si>
    <t>საბურ. Hifly 215/70R16 100H HT601</t>
  </si>
  <si>
    <t>აკუმულატორი FEON 6CT 77 ა*ს R+</t>
  </si>
  <si>
    <t>FEON</t>
  </si>
  <si>
    <t>ზეთი SHELL HELIX ULTRA RACING 10W60 4L</t>
  </si>
  <si>
    <t>ზეთი ძრავის TITAN SUPERSYN D1 5W30 1L</t>
  </si>
  <si>
    <t>ზეთი ძრ. MOTUL 8100 ECO-Nergy 5W30 1L</t>
  </si>
  <si>
    <t>ზეთი SHELL HELIX HX7 5W40 4L</t>
  </si>
  <si>
    <t>აკუმულატორი Macpower 100 ა*ს მარჯ.</t>
  </si>
  <si>
    <t>საბურ. Kama 195/65R15 NK 241</t>
  </si>
  <si>
    <t>KAMA</t>
  </si>
  <si>
    <t>საბურ. Riken 185/55R16 Road perf.</t>
  </si>
  <si>
    <t>საბურ. BSJ 235/65R18 106V DHPS</t>
  </si>
  <si>
    <t>საბურ. BST 235/60R16 100H D697</t>
  </si>
  <si>
    <t>საბ. Yokohama 265/65R17 G94 DEMO</t>
  </si>
  <si>
    <t>YOKOHAMA</t>
  </si>
  <si>
    <t>საბ. Bridgestone 265/65R17 D693 DEMO</t>
  </si>
  <si>
    <t>საბურ. BSJ 225/55R18 98V DHPS</t>
  </si>
  <si>
    <t>ზეთი ტრანს. TITAN ATF 4134 (29449) 1L</t>
  </si>
  <si>
    <t>საბურ.  BSIN 215/70R16 100S D697</t>
  </si>
  <si>
    <t>ზეთი CHAMPION ECO FLOW 0W20 D1 FE 4L</t>
  </si>
  <si>
    <t>CHAMPION</t>
  </si>
  <si>
    <t>საბურ. BSIN 195/55R15 RE003 85W</t>
  </si>
  <si>
    <t>საბურ. NK 235/70R16 KAMA-221</t>
  </si>
  <si>
    <t>საბურ. Hifly 215/60R16 99H Win-Turi 212</t>
  </si>
  <si>
    <t>საბურ. BSIN 195/65R15 91H EP150</t>
  </si>
  <si>
    <t>ზეთი SHELL HELIX HX8 5W40 55L</t>
  </si>
  <si>
    <t>ზეთი SHELL HELIX HX7 10W40 209L</t>
  </si>
  <si>
    <t>ზეთი ძრ. MOTUL 7100 10W40 4T   4L</t>
  </si>
  <si>
    <t>აკუმულატორი OPTIMA YT S 5.5 75 ა*ს L+</t>
  </si>
  <si>
    <t>OPTIMA</t>
  </si>
  <si>
    <t>საბურ. HIFLY 215/65R15 HF201</t>
  </si>
  <si>
    <t>ზეთი ძრ. TITAN SUPERSYN LONGLIFE 5W40 5L</t>
  </si>
  <si>
    <t>ზეთი ძრ. TITAN SUPERSYN LONGLIFE 5W40 1L</t>
  </si>
  <si>
    <t>საბურ. BST 205/55R16 RE003</t>
  </si>
  <si>
    <t>საბურ. BSIN 31X10.50R15 109S D697</t>
  </si>
  <si>
    <t>საბურ. BST 205/50R17 RE003</t>
  </si>
  <si>
    <t>საბურ. Pet. 225/60R17 103V W671</t>
  </si>
  <si>
    <t>PETLAS</t>
  </si>
  <si>
    <t>ზეთი SHELL HELIX HX7 10W40 DIESEL 1L</t>
  </si>
  <si>
    <t>ზეთი SHELL HELIX HX7 10W40 DIESEL 4L</t>
  </si>
  <si>
    <t>აკუმულატორი VARTA BLU B34 45 ა*ს JIS L+</t>
  </si>
  <si>
    <t>აკუმულატორი Macpower 45 ა*ს JIS მარჯ.</t>
  </si>
  <si>
    <t>ზეთი SHELL HELIX HX6 10W40 4L</t>
  </si>
  <si>
    <t>საბ. Riken 215/55R17 98WUltra Hig.Per.</t>
  </si>
  <si>
    <t>საბურ. HIFLY 225/50R17 HF805</t>
  </si>
  <si>
    <t>საბურ. Hifly 215/55R17 98W HF805</t>
  </si>
  <si>
    <t>ზეთი ძრ. MOTUL 6100 SAVE-Lite 5W30 208L</t>
  </si>
  <si>
    <t>აკუმულატორი VARTA BLU E12 74 ა*ს L+</t>
  </si>
  <si>
    <t>საბურ.  BSIN 225/65R17 102S D697</t>
  </si>
  <si>
    <t>ზეთი ძრავის TITAN SUPERSYN 5W40 1L</t>
  </si>
  <si>
    <t>ზეთი ძრავის TITAN SUPERSYN 5W40 4L</t>
  </si>
  <si>
    <t>საბურ. BST 225/55R16 RE003</t>
  </si>
  <si>
    <t>ზეთი ძრ. MOTUL 8100 ECO-Nergy 5W30 5L</t>
  </si>
  <si>
    <t>აკუმულატორი FIAMM eF AGM VR800 80 ა*ს R+</t>
  </si>
  <si>
    <t>FIAMM</t>
  </si>
  <si>
    <t>ზეთი SHELL HELIX ULTRA ECT C3 5W30 209L</t>
  </si>
  <si>
    <t>ზეთი SHELL HELIX ULTRA PRO AF 5W20 1L</t>
  </si>
  <si>
    <t>აკუმულატორი VARTA POW AGM YT12B-B 12 ა*ს</t>
  </si>
  <si>
    <t>ზეთი SHELL HELIX ULTRA ECT C3 5W30 4L</t>
  </si>
  <si>
    <t>საბურ. BSJ 265/65R17 112S D840</t>
  </si>
  <si>
    <t>აკუმულატორი VARTA SIL AGM D52 60 ა*ს R+</t>
  </si>
  <si>
    <t>აკუმულატორი VARTA BLU B32 45 ა*ს JIS R+</t>
  </si>
  <si>
    <t>ზეთი ტრანს. TITAN ATF 4400 (29934) 1L</t>
  </si>
  <si>
    <t>ზეთი SHELL HELIX HX7 5W30 1L</t>
  </si>
  <si>
    <t>აკუმულატორი Exide AGM EK950 95 ა*ს R+</t>
  </si>
  <si>
    <t>საბურ. Star. 175/65R14 82T ST562</t>
  </si>
  <si>
    <t>STARMAXX</t>
  </si>
  <si>
    <t>საბურ. BSJ 235/55R18 100V DHPS</t>
  </si>
  <si>
    <t>ზეთი SHELL HELIX ULTRA 5W30 5L</t>
  </si>
  <si>
    <t>აკუმულატორი VARTA POW FRE YB9-B 9 ა*ს</t>
  </si>
  <si>
    <t>ზეთი SHELL HELIX HX7 10W40 1L</t>
  </si>
  <si>
    <t>ზეთი ძრ. TITAN GT1 FLEX 23 5W30 1L</t>
  </si>
  <si>
    <t>ზეთი ძრ. TITAN GT1 FLEX 23 5W30 5L</t>
  </si>
  <si>
    <t>საბურ. BST 225/60R16 98V EP300</t>
  </si>
  <si>
    <t>საბურ. Riken 175/70R14 84T Road</t>
  </si>
  <si>
    <t>ზეთი SHELL HELIX ULTRA PRO AF 5W20 5L</t>
  </si>
  <si>
    <t>ზეთი ძრ. MOTUL 6100 SAVE-Lite 5W20 4L</t>
  </si>
  <si>
    <t>ზეთი ტრანს. OEM HONDA ULTRA HMMF 4L</t>
  </si>
  <si>
    <t>OEM</t>
  </si>
  <si>
    <t>ზეთი SHELL HELIX HX8 5W40 209L</t>
  </si>
  <si>
    <t>საბ. Viatti 235/45R17 V-130</t>
  </si>
  <si>
    <t>VIATTI</t>
  </si>
  <si>
    <t>საბურ. BSJ 215/65R16 98H DHPS</t>
  </si>
  <si>
    <t>საბ. Riken 215/60R17 96H Ultra High Perf</t>
  </si>
  <si>
    <t>საბურ. BSIN 185/65R14 86H EP150</t>
  </si>
  <si>
    <t>Tire</t>
  </si>
  <si>
    <t>New_Date</t>
  </si>
  <si>
    <t>CONTINENTAL</t>
  </si>
  <si>
    <t>COOPER</t>
  </si>
  <si>
    <t>DUNLOP</t>
  </si>
  <si>
    <t>FALKEN</t>
  </si>
  <si>
    <t>GENERAL</t>
  </si>
  <si>
    <t>GOODYEAR</t>
  </si>
  <si>
    <t>GT RADIAL</t>
  </si>
  <si>
    <t>HANKOOK</t>
  </si>
  <si>
    <t>JOYROAD</t>
  </si>
  <si>
    <t>KUMHO</t>
  </si>
  <si>
    <t>LANVIGATOR</t>
  </si>
  <si>
    <t>MICHELIN</t>
  </si>
  <si>
    <t>MOMO</t>
  </si>
  <si>
    <t>NEREUS</t>
  </si>
  <si>
    <t>PIRELLI</t>
  </si>
  <si>
    <t>ROYAL BLACK</t>
  </si>
  <si>
    <t>SUNFULL</t>
  </si>
  <si>
    <t>SUNNY</t>
  </si>
  <si>
    <t>TOYO</t>
  </si>
  <si>
    <t>WESTLAKE</t>
  </si>
  <si>
    <t>ZEETEX</t>
  </si>
  <si>
    <t>ZETA</t>
  </si>
  <si>
    <t>საბ. RoyalBl. 185/65R15 88H Royal Pass.</t>
  </si>
  <si>
    <t>900003</t>
  </si>
  <si>
    <t>618641</t>
  </si>
  <si>
    <t>საბ. Kumho 235/40R18 95W WP71</t>
  </si>
  <si>
    <t>771857</t>
  </si>
  <si>
    <t>644655</t>
  </si>
  <si>
    <t>334795</t>
  </si>
  <si>
    <t>857006</t>
  </si>
  <si>
    <t>269718</t>
  </si>
  <si>
    <t>237118</t>
  </si>
  <si>
    <t>Date</t>
  </si>
  <si>
    <t>ProductName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</si>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</sst>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D893-E906-FA4B-9650-329BD03284CD}">
  <dimension ref="A1:N320"/>
  <sheetViews>
    <sheetView tabSelected="1" zoomScale="85" zoomScaleNormal="85" workbookViewId="0">
      <selection activeCell="G2" sqref="G2"/>
    </sheetView>
  </sheetViews>
  <sheetFormatPr defaultColWidth="11.19921875" defaultRowHeight="15.6" x14ac:dyDescent="0.3"/>
  <cols>
    <col min="2" max="2" width="43.5" bestFit="1" customWidth="1"/>
    <col min="4" max="4" width="15" bestFit="1" customWidth="1"/>
    <col min="5" max="5" width="13.19921875" bestFit="1" customWidth="1"/>
  </cols>
  <sheetData>
    <row r="1" spans="1:14" x14ac:dyDescent="0.3">
      <c r="A1" t="s">
        <v>212</v>
      </c>
      <c r="B1" t="s">
        <v>213</v>
      </c>
      <c r="C1" t="s">
        <v>0</v>
      </c>
      <c r="G1" t="s">
        <v>214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179</v>
      </c>
    </row>
    <row r="2" spans="1:14" x14ac:dyDescent="0.3">
      <c r="A2" s="1">
        <v>44256</v>
      </c>
      <c r="B2" t="s">
        <v>17</v>
      </c>
      <c r="C2" t="str">
        <f t="shared" ref="C2:C33" si="0">IF(LEFT($B2,FIND(" ",$B2)-1)=$D$2,"Oil",IF(LEFT($B2,FIND(" ",$B2)-1)=$D$3,"Battery", IF(LEFT($B2, FIND(" ", $B2)-1) = $D$4, "Tire", " "      )                   ))</f>
        <v>Battery</v>
      </c>
      <c r="D2" t="s">
        <v>7</v>
      </c>
      <c r="E2" s="3" t="s">
        <v>11</v>
      </c>
      <c r="F2">
        <v>0</v>
      </c>
      <c r="G2">
        <v>1</v>
      </c>
      <c r="H2">
        <v>155.19999999999999</v>
      </c>
      <c r="I2">
        <v>131.53</v>
      </c>
      <c r="J2" t="s">
        <v>15</v>
      </c>
      <c r="K2">
        <v>13</v>
      </c>
      <c r="L2">
        <v>1070</v>
      </c>
      <c r="M2">
        <v>900003</v>
      </c>
      <c r="N2" s="1">
        <v>44256</v>
      </c>
    </row>
    <row r="3" spans="1:14" x14ac:dyDescent="0.3">
      <c r="A3" s="1">
        <v>44256</v>
      </c>
      <c r="B3" t="s">
        <v>18</v>
      </c>
      <c r="C3" t="str">
        <f t="shared" si="0"/>
        <v>Oil</v>
      </c>
      <c r="D3" t="s">
        <v>8</v>
      </c>
      <c r="E3" s="3" t="s">
        <v>39</v>
      </c>
      <c r="F3">
        <v>173</v>
      </c>
      <c r="G3">
        <v>5</v>
      </c>
      <c r="H3">
        <v>120</v>
      </c>
      <c r="I3">
        <v>101.69</v>
      </c>
      <c r="J3" t="s">
        <v>19</v>
      </c>
      <c r="K3">
        <v>14</v>
      </c>
      <c r="L3">
        <v>1070</v>
      </c>
      <c r="M3">
        <v>900003</v>
      </c>
      <c r="N3" s="1">
        <v>44257</v>
      </c>
    </row>
    <row r="4" spans="1:14" x14ac:dyDescent="0.3">
      <c r="A4" s="1">
        <v>44256</v>
      </c>
      <c r="B4" t="s">
        <v>20</v>
      </c>
      <c r="C4" t="str">
        <f t="shared" si="0"/>
        <v>Oil</v>
      </c>
      <c r="D4" t="s">
        <v>10</v>
      </c>
      <c r="E4" s="3" t="s">
        <v>180</v>
      </c>
      <c r="F4">
        <v>0</v>
      </c>
      <c r="G4">
        <v>4</v>
      </c>
      <c r="H4">
        <v>105</v>
      </c>
      <c r="I4">
        <v>88.98</v>
      </c>
      <c r="J4" t="s">
        <v>19</v>
      </c>
      <c r="K4">
        <v>14</v>
      </c>
      <c r="L4">
        <v>1070</v>
      </c>
      <c r="M4">
        <v>258897</v>
      </c>
      <c r="N4" s="1">
        <v>44258</v>
      </c>
    </row>
    <row r="5" spans="1:14" x14ac:dyDescent="0.3">
      <c r="A5" s="1">
        <v>44256</v>
      </c>
      <c r="B5" t="s">
        <v>21</v>
      </c>
      <c r="C5" t="str">
        <f t="shared" si="0"/>
        <v>Battery</v>
      </c>
      <c r="E5" s="3" t="s">
        <v>181</v>
      </c>
      <c r="F5">
        <v>0</v>
      </c>
      <c r="G5">
        <v>1</v>
      </c>
      <c r="H5">
        <v>387.2</v>
      </c>
      <c r="I5">
        <v>328.14</v>
      </c>
      <c r="J5" t="s">
        <v>15</v>
      </c>
      <c r="K5">
        <v>13</v>
      </c>
      <c r="L5">
        <v>1070</v>
      </c>
      <c r="M5">
        <v>900003</v>
      </c>
      <c r="N5" s="1">
        <v>44259</v>
      </c>
    </row>
    <row r="6" spans="1:14" x14ac:dyDescent="0.3">
      <c r="A6" s="1">
        <v>44256</v>
      </c>
      <c r="B6" t="s">
        <v>22</v>
      </c>
      <c r="C6" t="str">
        <f t="shared" si="0"/>
        <v>Battery</v>
      </c>
      <c r="E6" s="3" t="s">
        <v>182</v>
      </c>
      <c r="F6">
        <v>8</v>
      </c>
      <c r="G6">
        <v>1</v>
      </c>
      <c r="H6">
        <v>203.2</v>
      </c>
      <c r="I6">
        <v>172.2</v>
      </c>
      <c r="J6" t="s">
        <v>15</v>
      </c>
      <c r="K6">
        <v>13</v>
      </c>
      <c r="L6">
        <v>1070</v>
      </c>
      <c r="M6">
        <v>656516</v>
      </c>
      <c r="N6" s="1">
        <v>44260</v>
      </c>
    </row>
    <row r="7" spans="1:14" x14ac:dyDescent="0.3">
      <c r="A7" s="1">
        <v>44256</v>
      </c>
      <c r="B7" t="s">
        <v>23</v>
      </c>
      <c r="C7" t="str">
        <f t="shared" si="0"/>
        <v>Battery</v>
      </c>
      <c r="E7" s="3" t="s">
        <v>183</v>
      </c>
      <c r="F7">
        <v>0</v>
      </c>
      <c r="G7">
        <v>1</v>
      </c>
      <c r="H7">
        <v>503.2</v>
      </c>
      <c r="I7">
        <v>426.44</v>
      </c>
      <c r="J7" t="s">
        <v>15</v>
      </c>
      <c r="K7">
        <v>13</v>
      </c>
      <c r="L7">
        <v>1070</v>
      </c>
      <c r="M7">
        <v>900003</v>
      </c>
      <c r="N7" s="1">
        <v>44261</v>
      </c>
    </row>
    <row r="8" spans="1:14" x14ac:dyDescent="0.3">
      <c r="A8" s="1">
        <v>44256</v>
      </c>
      <c r="B8" t="s">
        <v>24</v>
      </c>
      <c r="C8" t="str">
        <f t="shared" si="0"/>
        <v>Oil</v>
      </c>
      <c r="E8" s="3" t="s">
        <v>36</v>
      </c>
      <c r="F8">
        <v>1</v>
      </c>
      <c r="G8">
        <v>1</v>
      </c>
      <c r="H8">
        <v>64</v>
      </c>
      <c r="I8">
        <v>54.24</v>
      </c>
      <c r="J8" t="s">
        <v>25</v>
      </c>
      <c r="K8">
        <v>14</v>
      </c>
      <c r="L8">
        <v>1070</v>
      </c>
      <c r="M8">
        <v>677121</v>
      </c>
      <c r="N8" s="1">
        <v>44263</v>
      </c>
    </row>
    <row r="9" spans="1:14" x14ac:dyDescent="0.3">
      <c r="A9" s="1">
        <v>44256</v>
      </c>
      <c r="B9" t="s">
        <v>26</v>
      </c>
      <c r="C9" t="str">
        <f t="shared" si="0"/>
        <v>Oil</v>
      </c>
      <c r="E9" s="3" t="s">
        <v>184</v>
      </c>
      <c r="F9">
        <v>0</v>
      </c>
      <c r="G9">
        <v>4</v>
      </c>
      <c r="H9">
        <v>60</v>
      </c>
      <c r="I9">
        <v>50.84</v>
      </c>
      <c r="J9" t="s">
        <v>27</v>
      </c>
      <c r="K9">
        <v>14</v>
      </c>
      <c r="L9">
        <v>1070</v>
      </c>
      <c r="M9">
        <v>260972</v>
      </c>
      <c r="N9" s="1">
        <v>44264</v>
      </c>
    </row>
    <row r="10" spans="1:14" x14ac:dyDescent="0.3">
      <c r="A10" s="1">
        <v>44256</v>
      </c>
      <c r="B10" t="s">
        <v>28</v>
      </c>
      <c r="C10" t="str">
        <f t="shared" si="0"/>
        <v>Battery</v>
      </c>
      <c r="E10" s="3" t="s">
        <v>185</v>
      </c>
      <c r="F10">
        <v>0</v>
      </c>
      <c r="G10">
        <v>1</v>
      </c>
      <c r="H10">
        <v>435.2</v>
      </c>
      <c r="I10">
        <v>368.81</v>
      </c>
      <c r="J10" t="s">
        <v>15</v>
      </c>
      <c r="K10">
        <v>13</v>
      </c>
      <c r="L10">
        <v>1070</v>
      </c>
      <c r="M10">
        <v>900003</v>
      </c>
      <c r="N10" s="1">
        <v>44265</v>
      </c>
    </row>
    <row r="11" spans="1:14" x14ac:dyDescent="0.3">
      <c r="A11" s="1">
        <v>44256</v>
      </c>
      <c r="B11" t="s">
        <v>29</v>
      </c>
      <c r="C11" t="str">
        <f t="shared" si="0"/>
        <v>Oil</v>
      </c>
      <c r="E11" s="3" t="s">
        <v>186</v>
      </c>
      <c r="F11">
        <v>0</v>
      </c>
      <c r="G11">
        <v>8</v>
      </c>
      <c r="H11">
        <v>156</v>
      </c>
      <c r="I11">
        <v>132.19999999999999</v>
      </c>
      <c r="J11" t="s">
        <v>19</v>
      </c>
      <c r="K11">
        <v>14</v>
      </c>
      <c r="L11">
        <v>1070</v>
      </c>
      <c r="M11">
        <v>673943</v>
      </c>
      <c r="N11" s="1">
        <v>44266</v>
      </c>
    </row>
    <row r="12" spans="1:14" x14ac:dyDescent="0.3">
      <c r="A12" s="1">
        <v>44256</v>
      </c>
      <c r="B12" t="s">
        <v>30</v>
      </c>
      <c r="C12" t="str">
        <f t="shared" si="0"/>
        <v>Battery</v>
      </c>
      <c r="E12" s="3" t="s">
        <v>69</v>
      </c>
      <c r="F12">
        <v>2</v>
      </c>
      <c r="G12">
        <v>1</v>
      </c>
      <c r="H12">
        <v>651.20000000000005</v>
      </c>
      <c r="I12">
        <v>551.86</v>
      </c>
      <c r="J12" t="s">
        <v>15</v>
      </c>
      <c r="K12">
        <v>13</v>
      </c>
      <c r="L12">
        <v>1070</v>
      </c>
      <c r="M12">
        <v>730470</v>
      </c>
      <c r="N12" s="1">
        <v>44267</v>
      </c>
    </row>
    <row r="13" spans="1:14" x14ac:dyDescent="0.3">
      <c r="A13" s="1">
        <v>44256</v>
      </c>
      <c r="B13" t="s">
        <v>31</v>
      </c>
      <c r="C13" t="str">
        <f t="shared" si="0"/>
        <v>Battery</v>
      </c>
      <c r="E13" s="3" t="s">
        <v>187</v>
      </c>
      <c r="F13">
        <v>0</v>
      </c>
      <c r="G13">
        <v>1</v>
      </c>
      <c r="H13">
        <v>175.2</v>
      </c>
      <c r="I13">
        <v>148.47</v>
      </c>
      <c r="J13" t="s">
        <v>15</v>
      </c>
      <c r="K13">
        <v>13</v>
      </c>
      <c r="L13">
        <v>1070</v>
      </c>
      <c r="M13">
        <v>775232</v>
      </c>
      <c r="N13" s="1">
        <v>44268</v>
      </c>
    </row>
    <row r="14" spans="1:14" x14ac:dyDescent="0.3">
      <c r="A14" s="1">
        <v>44256</v>
      </c>
      <c r="B14" t="s">
        <v>32</v>
      </c>
      <c r="C14" t="str">
        <f t="shared" si="0"/>
        <v>Tire</v>
      </c>
      <c r="D14" s="4"/>
      <c r="E14" s="3" t="s">
        <v>41</v>
      </c>
      <c r="F14">
        <v>22</v>
      </c>
      <c r="G14">
        <v>4</v>
      </c>
      <c r="H14">
        <v>558</v>
      </c>
      <c r="I14">
        <v>472.88</v>
      </c>
      <c r="J14" t="s">
        <v>33</v>
      </c>
      <c r="K14">
        <v>11</v>
      </c>
      <c r="L14">
        <v>1070</v>
      </c>
      <c r="M14">
        <v>813988</v>
      </c>
      <c r="N14" s="1">
        <v>44270</v>
      </c>
    </row>
    <row r="15" spans="1:14" x14ac:dyDescent="0.3">
      <c r="A15" s="1">
        <v>44256</v>
      </c>
      <c r="B15" t="s">
        <v>34</v>
      </c>
      <c r="C15" t="str">
        <f t="shared" si="0"/>
        <v>Battery</v>
      </c>
      <c r="E15" s="3" t="s">
        <v>188</v>
      </c>
      <c r="F15">
        <v>0</v>
      </c>
      <c r="G15">
        <v>1</v>
      </c>
      <c r="H15">
        <v>175.2</v>
      </c>
      <c r="I15">
        <v>148.47</v>
      </c>
      <c r="J15" t="s">
        <v>15</v>
      </c>
      <c r="K15">
        <v>13</v>
      </c>
      <c r="L15">
        <v>1070</v>
      </c>
      <c r="M15">
        <v>900003</v>
      </c>
      <c r="N15" s="1">
        <v>44271</v>
      </c>
    </row>
    <row r="16" spans="1:14" x14ac:dyDescent="0.3">
      <c r="A16" s="1">
        <v>44256</v>
      </c>
      <c r="B16" t="s">
        <v>28</v>
      </c>
      <c r="C16" t="str">
        <f t="shared" si="0"/>
        <v>Battery</v>
      </c>
      <c r="E16" s="3" t="s">
        <v>102</v>
      </c>
      <c r="F16">
        <v>6</v>
      </c>
      <c r="G16">
        <v>1</v>
      </c>
      <c r="H16">
        <v>435.2</v>
      </c>
      <c r="I16">
        <v>368.81</v>
      </c>
      <c r="J16" t="s">
        <v>15</v>
      </c>
      <c r="K16">
        <v>13</v>
      </c>
      <c r="L16">
        <v>1070</v>
      </c>
      <c r="M16">
        <v>275362</v>
      </c>
      <c r="N16" s="1">
        <v>44272</v>
      </c>
    </row>
    <row r="17" spans="1:14" x14ac:dyDescent="0.3">
      <c r="A17" s="1">
        <v>44257</v>
      </c>
      <c r="B17" t="s">
        <v>35</v>
      </c>
      <c r="C17" t="str">
        <f t="shared" si="0"/>
        <v>Tire</v>
      </c>
      <c r="D17" s="4"/>
      <c r="E17" s="3" t="s">
        <v>189</v>
      </c>
      <c r="F17">
        <v>4</v>
      </c>
      <c r="G17">
        <v>1</v>
      </c>
      <c r="H17">
        <v>76.5</v>
      </c>
      <c r="I17">
        <v>64.83</v>
      </c>
      <c r="J17" t="s">
        <v>36</v>
      </c>
      <c r="K17">
        <v>11</v>
      </c>
      <c r="L17">
        <v>1070</v>
      </c>
      <c r="M17">
        <v>900003</v>
      </c>
      <c r="N17" s="1">
        <v>44273</v>
      </c>
    </row>
    <row r="18" spans="1:14" x14ac:dyDescent="0.3">
      <c r="A18" s="1">
        <v>44257</v>
      </c>
      <c r="B18" t="s">
        <v>37</v>
      </c>
      <c r="C18" t="str">
        <f t="shared" si="0"/>
        <v>Battery</v>
      </c>
      <c r="E18" s="3" t="s">
        <v>190</v>
      </c>
      <c r="F18">
        <v>0</v>
      </c>
      <c r="G18">
        <v>1</v>
      </c>
      <c r="H18">
        <v>403.2</v>
      </c>
      <c r="I18">
        <v>341.69</v>
      </c>
      <c r="J18" t="s">
        <v>15</v>
      </c>
      <c r="K18">
        <v>13</v>
      </c>
      <c r="L18">
        <v>1070</v>
      </c>
      <c r="M18">
        <v>900003</v>
      </c>
      <c r="N18" s="1">
        <v>44274</v>
      </c>
    </row>
    <row r="19" spans="1:14" x14ac:dyDescent="0.3">
      <c r="A19" s="1">
        <v>44257</v>
      </c>
      <c r="B19" t="s">
        <v>14</v>
      </c>
      <c r="C19" t="str">
        <f t="shared" si="0"/>
        <v>Battery</v>
      </c>
      <c r="E19" s="3" t="s">
        <v>191</v>
      </c>
      <c r="F19">
        <v>0</v>
      </c>
      <c r="G19">
        <v>1</v>
      </c>
      <c r="H19">
        <v>263.2</v>
      </c>
      <c r="I19">
        <v>223.05</v>
      </c>
      <c r="J19" t="s">
        <v>15</v>
      </c>
      <c r="K19">
        <v>13</v>
      </c>
      <c r="L19">
        <v>1070</v>
      </c>
      <c r="M19">
        <v>206177</v>
      </c>
      <c r="N19" s="1">
        <v>44275</v>
      </c>
    </row>
    <row r="20" spans="1:14" x14ac:dyDescent="0.3">
      <c r="A20" s="1">
        <v>44257</v>
      </c>
      <c r="B20" t="s">
        <v>38</v>
      </c>
      <c r="C20" t="str">
        <f t="shared" si="0"/>
        <v>Tire</v>
      </c>
      <c r="D20" s="4"/>
      <c r="E20" s="3" t="s">
        <v>192</v>
      </c>
      <c r="F20">
        <v>0</v>
      </c>
      <c r="G20">
        <v>2</v>
      </c>
      <c r="H20">
        <v>312</v>
      </c>
      <c r="I20">
        <v>264.41000000000003</v>
      </c>
      <c r="J20" t="s">
        <v>39</v>
      </c>
      <c r="K20">
        <v>11</v>
      </c>
      <c r="L20">
        <v>1070</v>
      </c>
      <c r="M20">
        <v>679156</v>
      </c>
      <c r="N20" s="1">
        <v>44277</v>
      </c>
    </row>
    <row r="21" spans="1:14" x14ac:dyDescent="0.3">
      <c r="A21" s="1">
        <v>44257</v>
      </c>
      <c r="B21" t="s">
        <v>31</v>
      </c>
      <c r="C21" t="str">
        <f t="shared" si="0"/>
        <v>Battery</v>
      </c>
      <c r="E21" s="3" t="s">
        <v>193</v>
      </c>
      <c r="F21">
        <v>0</v>
      </c>
      <c r="G21">
        <v>1</v>
      </c>
      <c r="H21">
        <v>175.2</v>
      </c>
      <c r="I21">
        <v>148.47</v>
      </c>
      <c r="J21" t="s">
        <v>15</v>
      </c>
      <c r="K21">
        <v>13</v>
      </c>
      <c r="L21">
        <v>1070</v>
      </c>
      <c r="M21">
        <v>269366</v>
      </c>
      <c r="N21" s="1">
        <v>44278</v>
      </c>
    </row>
    <row r="22" spans="1:14" x14ac:dyDescent="0.3">
      <c r="A22" s="1">
        <v>44257</v>
      </c>
      <c r="B22" t="s">
        <v>28</v>
      </c>
      <c r="C22" t="str">
        <f t="shared" si="0"/>
        <v>Battery</v>
      </c>
      <c r="E22" s="3" t="s">
        <v>130</v>
      </c>
      <c r="F22">
        <v>4</v>
      </c>
      <c r="G22">
        <v>1</v>
      </c>
      <c r="H22">
        <v>435.2</v>
      </c>
      <c r="I22">
        <v>368.81</v>
      </c>
      <c r="J22" t="s">
        <v>15</v>
      </c>
      <c r="K22">
        <v>13</v>
      </c>
      <c r="L22">
        <v>1070</v>
      </c>
      <c r="M22">
        <v>276612</v>
      </c>
      <c r="N22" s="1">
        <v>44279</v>
      </c>
    </row>
    <row r="23" spans="1:14" x14ac:dyDescent="0.3">
      <c r="A23" s="1">
        <v>44257</v>
      </c>
      <c r="B23" t="s">
        <v>31</v>
      </c>
      <c r="C23" t="str">
        <f t="shared" si="0"/>
        <v>Battery</v>
      </c>
      <c r="E23" s="3" t="s">
        <v>194</v>
      </c>
      <c r="F23">
        <v>0</v>
      </c>
      <c r="G23">
        <v>1</v>
      </c>
      <c r="H23">
        <v>175.2</v>
      </c>
      <c r="I23">
        <v>148.47</v>
      </c>
      <c r="J23" t="s">
        <v>15</v>
      </c>
      <c r="K23">
        <v>13</v>
      </c>
      <c r="L23">
        <v>1070</v>
      </c>
      <c r="M23">
        <v>900003</v>
      </c>
      <c r="N23" s="1">
        <v>44280</v>
      </c>
    </row>
    <row r="24" spans="1:14" x14ac:dyDescent="0.3">
      <c r="A24" s="1">
        <v>44257</v>
      </c>
      <c r="B24" t="s">
        <v>31</v>
      </c>
      <c r="C24" t="str">
        <f t="shared" si="0"/>
        <v>Battery</v>
      </c>
      <c r="E24" s="3" t="s">
        <v>33</v>
      </c>
      <c r="F24">
        <v>22</v>
      </c>
      <c r="G24">
        <v>1</v>
      </c>
      <c r="H24">
        <v>175.2</v>
      </c>
      <c r="I24">
        <v>148.47</v>
      </c>
      <c r="J24" t="s">
        <v>15</v>
      </c>
      <c r="K24">
        <v>13</v>
      </c>
      <c r="L24">
        <v>1070</v>
      </c>
      <c r="M24">
        <v>720036</v>
      </c>
      <c r="N24" s="1">
        <v>44281</v>
      </c>
    </row>
    <row r="25" spans="1:14" x14ac:dyDescent="0.3">
      <c r="A25" s="1">
        <v>44257</v>
      </c>
      <c r="B25" t="s">
        <v>34</v>
      </c>
      <c r="C25" t="str">
        <f t="shared" si="0"/>
        <v>Battery</v>
      </c>
      <c r="E25" s="3" t="s">
        <v>195</v>
      </c>
      <c r="F25">
        <v>4</v>
      </c>
      <c r="G25">
        <v>1</v>
      </c>
      <c r="H25">
        <v>175.2</v>
      </c>
      <c r="I25">
        <v>148.47</v>
      </c>
      <c r="J25" t="s">
        <v>15</v>
      </c>
      <c r="K25">
        <v>13</v>
      </c>
      <c r="L25">
        <v>1070</v>
      </c>
      <c r="M25">
        <v>900003</v>
      </c>
      <c r="N25" s="1">
        <v>44282</v>
      </c>
    </row>
    <row r="26" spans="1:14" x14ac:dyDescent="0.3">
      <c r="A26" s="1">
        <v>44258</v>
      </c>
      <c r="B26" t="s">
        <v>40</v>
      </c>
      <c r="C26" t="str">
        <f t="shared" si="0"/>
        <v>Tire</v>
      </c>
      <c r="D26" s="4"/>
      <c r="E26" s="3" t="s">
        <v>159</v>
      </c>
      <c r="F26">
        <v>1</v>
      </c>
      <c r="G26">
        <v>1</v>
      </c>
      <c r="H26">
        <v>99</v>
      </c>
      <c r="I26">
        <v>83.9</v>
      </c>
      <c r="J26" t="s">
        <v>41</v>
      </c>
      <c r="K26">
        <v>11</v>
      </c>
      <c r="L26">
        <v>1070</v>
      </c>
      <c r="M26">
        <v>670116</v>
      </c>
      <c r="N26" s="1">
        <v>44284</v>
      </c>
    </row>
    <row r="27" spans="1:14" x14ac:dyDescent="0.3">
      <c r="A27" s="1">
        <v>44258</v>
      </c>
      <c r="B27" t="s">
        <v>42</v>
      </c>
      <c r="C27" t="str">
        <f t="shared" si="0"/>
        <v>Oil</v>
      </c>
      <c r="E27" s="3" t="s">
        <v>196</v>
      </c>
      <c r="F27">
        <v>0</v>
      </c>
      <c r="G27">
        <v>3</v>
      </c>
      <c r="H27">
        <v>83.25</v>
      </c>
      <c r="I27">
        <v>70.55</v>
      </c>
      <c r="J27" t="s">
        <v>19</v>
      </c>
      <c r="K27">
        <v>14</v>
      </c>
      <c r="L27">
        <v>1070</v>
      </c>
      <c r="M27">
        <v>900003</v>
      </c>
      <c r="N27" s="1">
        <v>44285</v>
      </c>
    </row>
    <row r="28" spans="1:14" x14ac:dyDescent="0.3">
      <c r="A28" s="1">
        <v>44258</v>
      </c>
      <c r="B28" t="s">
        <v>20</v>
      </c>
      <c r="C28" t="str">
        <f t="shared" si="0"/>
        <v>Oil</v>
      </c>
      <c r="E28" s="3" t="s">
        <v>197</v>
      </c>
      <c r="F28">
        <v>0</v>
      </c>
      <c r="G28">
        <v>4</v>
      </c>
      <c r="H28">
        <v>105</v>
      </c>
      <c r="I28">
        <v>88.99</v>
      </c>
      <c r="J28" t="s">
        <v>19</v>
      </c>
      <c r="K28">
        <v>14</v>
      </c>
      <c r="L28">
        <v>1070</v>
      </c>
      <c r="M28">
        <v>900003</v>
      </c>
      <c r="N28" s="1">
        <v>44286</v>
      </c>
    </row>
    <row r="29" spans="1:14" x14ac:dyDescent="0.3">
      <c r="A29" s="1">
        <v>44258</v>
      </c>
      <c r="B29" t="s">
        <v>43</v>
      </c>
      <c r="C29" t="str">
        <f t="shared" si="0"/>
        <v>Battery</v>
      </c>
      <c r="E29" s="3" t="s">
        <v>198</v>
      </c>
      <c r="F29">
        <v>0</v>
      </c>
      <c r="G29">
        <v>1</v>
      </c>
      <c r="H29">
        <v>155.19999999999999</v>
      </c>
      <c r="I29">
        <v>131.53</v>
      </c>
      <c r="J29" t="s">
        <v>15</v>
      </c>
      <c r="K29">
        <v>13</v>
      </c>
      <c r="L29">
        <v>1070</v>
      </c>
      <c r="M29">
        <v>900003</v>
      </c>
    </row>
    <row r="30" spans="1:14" x14ac:dyDescent="0.3">
      <c r="A30" s="1">
        <v>44258</v>
      </c>
      <c r="B30" t="s">
        <v>43</v>
      </c>
      <c r="C30" t="str">
        <f t="shared" si="0"/>
        <v>Battery</v>
      </c>
      <c r="E30" s="3" t="s">
        <v>174</v>
      </c>
      <c r="F30">
        <v>8</v>
      </c>
      <c r="G30">
        <v>1</v>
      </c>
      <c r="H30">
        <v>155.19999999999999</v>
      </c>
      <c r="I30">
        <v>131.53</v>
      </c>
      <c r="J30" t="s">
        <v>15</v>
      </c>
      <c r="K30">
        <v>13</v>
      </c>
      <c r="L30">
        <v>1070</v>
      </c>
      <c r="M30">
        <v>265074</v>
      </c>
      <c r="N30" s="1"/>
    </row>
    <row r="31" spans="1:14" x14ac:dyDescent="0.3">
      <c r="A31" s="1">
        <v>44258</v>
      </c>
      <c r="B31" t="s">
        <v>22</v>
      </c>
      <c r="C31" t="str">
        <f t="shared" si="0"/>
        <v>Battery</v>
      </c>
      <c r="E31" s="3" t="s">
        <v>199</v>
      </c>
      <c r="F31">
        <v>0</v>
      </c>
      <c r="G31">
        <v>1</v>
      </c>
      <c r="H31">
        <v>203.2</v>
      </c>
      <c r="I31">
        <v>172.2</v>
      </c>
      <c r="J31" t="s">
        <v>15</v>
      </c>
      <c r="K31">
        <v>13</v>
      </c>
      <c r="L31">
        <v>1070</v>
      </c>
      <c r="M31">
        <v>900003</v>
      </c>
    </row>
    <row r="32" spans="1:14" x14ac:dyDescent="0.3">
      <c r="A32" s="1">
        <v>44258</v>
      </c>
      <c r="B32" t="s">
        <v>44</v>
      </c>
      <c r="C32" t="str">
        <f t="shared" si="0"/>
        <v>Oil</v>
      </c>
      <c r="E32" s="3" t="s">
        <v>107</v>
      </c>
      <c r="F32">
        <v>54</v>
      </c>
      <c r="G32">
        <v>2</v>
      </c>
      <c r="H32">
        <v>55.5</v>
      </c>
      <c r="I32">
        <v>47.03</v>
      </c>
      <c r="J32" t="s">
        <v>19</v>
      </c>
      <c r="K32">
        <v>14</v>
      </c>
      <c r="L32">
        <v>1070</v>
      </c>
      <c r="M32">
        <v>223089</v>
      </c>
    </row>
    <row r="33" spans="1:14" x14ac:dyDescent="0.3">
      <c r="A33" s="1">
        <v>44258</v>
      </c>
      <c r="B33" t="s">
        <v>45</v>
      </c>
      <c r="C33" t="str">
        <f t="shared" si="0"/>
        <v>Oil</v>
      </c>
      <c r="E33" s="3" t="s">
        <v>200</v>
      </c>
      <c r="F33">
        <v>0</v>
      </c>
      <c r="G33">
        <v>8</v>
      </c>
      <c r="H33">
        <v>210</v>
      </c>
      <c r="I33">
        <v>177.97</v>
      </c>
      <c r="J33" t="s">
        <v>19</v>
      </c>
      <c r="K33">
        <v>14</v>
      </c>
      <c r="L33">
        <v>1070</v>
      </c>
      <c r="M33">
        <v>223089</v>
      </c>
    </row>
    <row r="34" spans="1:14" x14ac:dyDescent="0.3">
      <c r="A34" s="1">
        <v>44258</v>
      </c>
      <c r="B34" t="s">
        <v>50</v>
      </c>
      <c r="C34" t="str">
        <f t="shared" ref="C34:C65" si="1">IF(LEFT($B34,FIND(" ",$B34)-1)=$D$2,"Oil",IF(LEFT($B34,FIND(" ",$B34)-1)=$D$3,"Battery", IF(LEFT($B34, FIND(" ", $B34)-1) = $D$4, "Tire", " "      )                   ))</f>
        <v>Oil</v>
      </c>
      <c r="E34" s="3" t="s">
        <v>201</v>
      </c>
      <c r="F34">
        <v>0</v>
      </c>
      <c r="G34">
        <v>4</v>
      </c>
      <c r="H34">
        <v>108</v>
      </c>
      <c r="I34">
        <v>91.53</v>
      </c>
      <c r="J34" t="s">
        <v>19</v>
      </c>
      <c r="K34">
        <v>14</v>
      </c>
      <c r="L34">
        <v>1070</v>
      </c>
      <c r="M34">
        <v>855255</v>
      </c>
    </row>
    <row r="35" spans="1:14" x14ac:dyDescent="0.3">
      <c r="A35" s="1">
        <v>44259</v>
      </c>
      <c r="B35" t="s">
        <v>9</v>
      </c>
      <c r="C35" t="str">
        <f t="shared" si="1"/>
        <v>Tire</v>
      </c>
      <c r="D35" s="4"/>
      <c r="E35" s="3" t="s">
        <v>13</v>
      </c>
      <c r="F35">
        <v>8</v>
      </c>
      <c r="G35" s="5">
        <v>-4</v>
      </c>
      <c r="H35" s="2">
        <v>-1440</v>
      </c>
      <c r="I35" s="2">
        <v>-1220.3399999999999</v>
      </c>
      <c r="J35" t="s">
        <v>11</v>
      </c>
      <c r="K35">
        <v>11</v>
      </c>
      <c r="L35">
        <v>1070</v>
      </c>
      <c r="M35">
        <v>829478</v>
      </c>
      <c r="N35" s="1"/>
    </row>
    <row r="36" spans="1:14" x14ac:dyDescent="0.3">
      <c r="A36" s="1">
        <v>44259</v>
      </c>
      <c r="B36" t="s">
        <v>46</v>
      </c>
      <c r="C36" t="str">
        <f t="shared" si="1"/>
        <v>Tire</v>
      </c>
      <c r="D36" s="4"/>
      <c r="G36">
        <v>2</v>
      </c>
      <c r="H36">
        <v>720</v>
      </c>
      <c r="I36">
        <v>610.16999999999996</v>
      </c>
      <c r="J36" t="s">
        <v>39</v>
      </c>
      <c r="K36">
        <v>11</v>
      </c>
      <c r="L36">
        <v>1070</v>
      </c>
      <c r="M36">
        <v>900003</v>
      </c>
    </row>
    <row r="37" spans="1:14" x14ac:dyDescent="0.3">
      <c r="A37" s="1">
        <v>44259</v>
      </c>
      <c r="B37" t="s">
        <v>9</v>
      </c>
      <c r="C37" t="str">
        <f t="shared" si="1"/>
        <v>Tire</v>
      </c>
      <c r="D37" s="4"/>
      <c r="G37">
        <v>4</v>
      </c>
      <c r="H37" s="2">
        <v>1440</v>
      </c>
      <c r="I37" s="2">
        <v>1220.3399999999999</v>
      </c>
      <c r="J37" t="s">
        <v>11</v>
      </c>
      <c r="K37">
        <v>11</v>
      </c>
      <c r="L37">
        <v>1070</v>
      </c>
      <c r="M37">
        <v>829478</v>
      </c>
    </row>
    <row r="38" spans="1:14" x14ac:dyDescent="0.3">
      <c r="A38" s="1">
        <v>44259</v>
      </c>
      <c r="B38" t="s">
        <v>43</v>
      </c>
      <c r="C38" t="str">
        <f t="shared" si="1"/>
        <v>Battery</v>
      </c>
      <c r="G38">
        <v>1</v>
      </c>
      <c r="H38">
        <v>155.19999999999999</v>
      </c>
      <c r="I38">
        <v>131.53</v>
      </c>
      <c r="J38" t="s">
        <v>15</v>
      </c>
      <c r="K38">
        <v>13</v>
      </c>
      <c r="L38">
        <v>1070</v>
      </c>
      <c r="M38">
        <v>723363</v>
      </c>
    </row>
    <row r="39" spans="1:14" x14ac:dyDescent="0.3">
      <c r="A39" s="1">
        <v>44259</v>
      </c>
      <c r="B39" t="s">
        <v>47</v>
      </c>
      <c r="C39" t="str">
        <f t="shared" si="1"/>
        <v>Tire</v>
      </c>
      <c r="D39" s="4"/>
      <c r="G39">
        <v>4</v>
      </c>
      <c r="H39" s="2">
        <v>1648</v>
      </c>
      <c r="I39" s="2">
        <v>1396.61</v>
      </c>
      <c r="J39" t="s">
        <v>39</v>
      </c>
      <c r="K39">
        <v>11</v>
      </c>
      <c r="L39">
        <v>1070</v>
      </c>
      <c r="M39">
        <v>611155</v>
      </c>
    </row>
    <row r="40" spans="1:14" x14ac:dyDescent="0.3">
      <c r="A40" s="1">
        <v>44259</v>
      </c>
      <c r="B40" t="s">
        <v>48</v>
      </c>
      <c r="C40" t="str">
        <f t="shared" si="1"/>
        <v>Battery</v>
      </c>
      <c r="G40">
        <v>1</v>
      </c>
      <c r="H40">
        <v>259.2</v>
      </c>
      <c r="I40">
        <v>219.66</v>
      </c>
      <c r="J40" t="s">
        <v>15</v>
      </c>
      <c r="K40">
        <v>13</v>
      </c>
      <c r="L40">
        <v>1070</v>
      </c>
      <c r="M40">
        <v>804584</v>
      </c>
    </row>
    <row r="41" spans="1:14" x14ac:dyDescent="0.3">
      <c r="A41" s="1">
        <v>44259</v>
      </c>
      <c r="B41" t="s">
        <v>49</v>
      </c>
      <c r="C41" t="str">
        <f t="shared" si="1"/>
        <v>Tire</v>
      </c>
      <c r="D41" s="4"/>
      <c r="G41">
        <v>2</v>
      </c>
      <c r="H41">
        <v>448</v>
      </c>
      <c r="I41">
        <v>379.66</v>
      </c>
      <c r="J41" t="s">
        <v>39</v>
      </c>
      <c r="K41">
        <v>11</v>
      </c>
      <c r="L41">
        <v>1070</v>
      </c>
      <c r="M41">
        <v>848572</v>
      </c>
    </row>
    <row r="42" spans="1:14" x14ac:dyDescent="0.3">
      <c r="A42" s="1">
        <v>44259</v>
      </c>
      <c r="B42" t="s">
        <v>50</v>
      </c>
      <c r="C42" t="str">
        <f t="shared" si="1"/>
        <v>Oil</v>
      </c>
      <c r="G42">
        <v>5</v>
      </c>
      <c r="H42">
        <v>135</v>
      </c>
      <c r="I42">
        <v>114.4</v>
      </c>
      <c r="J42" t="s">
        <v>19</v>
      </c>
      <c r="K42">
        <v>14</v>
      </c>
      <c r="L42">
        <v>1070</v>
      </c>
      <c r="M42">
        <v>862447</v>
      </c>
    </row>
    <row r="43" spans="1:14" x14ac:dyDescent="0.3">
      <c r="A43" s="1">
        <v>44259</v>
      </c>
      <c r="B43" t="s">
        <v>51</v>
      </c>
      <c r="C43" t="str">
        <f t="shared" si="1"/>
        <v>Tire</v>
      </c>
      <c r="D43" s="4"/>
      <c r="G43">
        <v>4</v>
      </c>
      <c r="H43">
        <v>592</v>
      </c>
      <c r="I43">
        <v>501.69</v>
      </c>
      <c r="J43" t="s">
        <v>39</v>
      </c>
      <c r="K43">
        <v>11</v>
      </c>
      <c r="L43">
        <v>1070</v>
      </c>
      <c r="M43">
        <v>900003</v>
      </c>
    </row>
    <row r="44" spans="1:14" x14ac:dyDescent="0.3">
      <c r="A44" s="1">
        <v>44259</v>
      </c>
      <c r="B44" t="s">
        <v>170</v>
      </c>
      <c r="C44" t="str">
        <f t="shared" si="1"/>
        <v>Oil</v>
      </c>
      <c r="G44">
        <v>4</v>
      </c>
      <c r="H44">
        <v>200</v>
      </c>
      <c r="I44">
        <v>169.49</v>
      </c>
      <c r="J44" t="s">
        <v>171</v>
      </c>
      <c r="K44">
        <v>14</v>
      </c>
      <c r="L44">
        <v>1070</v>
      </c>
      <c r="M44">
        <v>869323</v>
      </c>
    </row>
    <row r="45" spans="1:14" x14ac:dyDescent="0.3">
      <c r="A45" s="1">
        <v>44260</v>
      </c>
      <c r="B45" t="s">
        <v>52</v>
      </c>
      <c r="C45" t="str">
        <f t="shared" si="1"/>
        <v>Battery</v>
      </c>
      <c r="G45">
        <v>1</v>
      </c>
      <c r="H45">
        <v>299.2</v>
      </c>
      <c r="I45">
        <v>253.56</v>
      </c>
      <c r="J45" t="s">
        <v>15</v>
      </c>
      <c r="K45">
        <v>13</v>
      </c>
      <c r="L45">
        <v>1070</v>
      </c>
      <c r="M45">
        <v>798958</v>
      </c>
    </row>
    <row r="46" spans="1:14" x14ac:dyDescent="0.3">
      <c r="A46" s="1">
        <v>44260</v>
      </c>
      <c r="B46" t="s">
        <v>53</v>
      </c>
      <c r="C46" t="str">
        <f t="shared" si="1"/>
        <v>Oil</v>
      </c>
      <c r="G46">
        <v>6</v>
      </c>
      <c r="H46">
        <v>144</v>
      </c>
      <c r="I46">
        <v>122.03</v>
      </c>
      <c r="J46" t="s">
        <v>19</v>
      </c>
      <c r="K46">
        <v>14</v>
      </c>
      <c r="L46">
        <v>1070</v>
      </c>
      <c r="M46">
        <v>657827</v>
      </c>
    </row>
    <row r="47" spans="1:14" x14ac:dyDescent="0.3">
      <c r="A47" s="1">
        <v>44260</v>
      </c>
      <c r="B47" t="s">
        <v>54</v>
      </c>
      <c r="C47" t="str">
        <f t="shared" si="1"/>
        <v>Tire</v>
      </c>
      <c r="D47" s="4"/>
      <c r="G47">
        <v>2</v>
      </c>
      <c r="H47">
        <v>576</v>
      </c>
      <c r="I47">
        <v>488.13</v>
      </c>
      <c r="J47" t="s">
        <v>39</v>
      </c>
      <c r="K47">
        <v>11</v>
      </c>
      <c r="L47">
        <v>1070</v>
      </c>
      <c r="M47">
        <v>796048</v>
      </c>
    </row>
    <row r="48" spans="1:14" x14ac:dyDescent="0.3">
      <c r="A48" s="1">
        <v>44260</v>
      </c>
      <c r="B48" t="s">
        <v>55</v>
      </c>
      <c r="C48" t="str">
        <f t="shared" si="1"/>
        <v>Tire</v>
      </c>
      <c r="D48" s="4"/>
      <c r="G48">
        <v>2</v>
      </c>
      <c r="H48">
        <v>504</v>
      </c>
      <c r="I48">
        <v>427.12</v>
      </c>
      <c r="J48" t="s">
        <v>39</v>
      </c>
      <c r="K48">
        <v>11</v>
      </c>
      <c r="L48">
        <v>1070</v>
      </c>
      <c r="M48">
        <v>796048</v>
      </c>
    </row>
    <row r="49" spans="1:13" x14ac:dyDescent="0.3">
      <c r="A49" s="1">
        <v>44260</v>
      </c>
      <c r="B49" t="s">
        <v>56</v>
      </c>
      <c r="C49" t="str">
        <f t="shared" si="1"/>
        <v>Oil</v>
      </c>
      <c r="G49">
        <v>1</v>
      </c>
      <c r="H49">
        <v>34.200000000000003</v>
      </c>
      <c r="I49">
        <v>28.98</v>
      </c>
      <c r="J49" t="s">
        <v>25</v>
      </c>
      <c r="K49">
        <v>14</v>
      </c>
      <c r="L49">
        <v>1070</v>
      </c>
      <c r="M49">
        <v>900003</v>
      </c>
    </row>
    <row r="50" spans="1:13" x14ac:dyDescent="0.3">
      <c r="A50" s="1">
        <v>44260</v>
      </c>
      <c r="B50" t="s">
        <v>57</v>
      </c>
      <c r="C50" t="str">
        <f t="shared" si="1"/>
        <v>Tire</v>
      </c>
      <c r="D50" s="4"/>
      <c r="G50">
        <v>4</v>
      </c>
      <c r="H50">
        <v>528</v>
      </c>
      <c r="I50">
        <v>447.46</v>
      </c>
      <c r="J50" t="s">
        <v>39</v>
      </c>
      <c r="K50">
        <v>11</v>
      </c>
      <c r="L50">
        <v>1070</v>
      </c>
      <c r="M50">
        <v>900003</v>
      </c>
    </row>
    <row r="51" spans="1:13" x14ac:dyDescent="0.3">
      <c r="A51" s="1">
        <v>44261</v>
      </c>
      <c r="B51" t="s">
        <v>31</v>
      </c>
      <c r="C51" t="str">
        <f t="shared" si="1"/>
        <v>Battery</v>
      </c>
      <c r="G51">
        <v>1</v>
      </c>
      <c r="H51">
        <v>175.2</v>
      </c>
      <c r="I51">
        <v>148.47</v>
      </c>
      <c r="J51" t="s">
        <v>15</v>
      </c>
      <c r="K51">
        <v>13</v>
      </c>
      <c r="L51">
        <v>1070</v>
      </c>
      <c r="M51">
        <v>711712</v>
      </c>
    </row>
    <row r="52" spans="1:13" x14ac:dyDescent="0.3">
      <c r="A52" s="1">
        <v>44261</v>
      </c>
      <c r="B52" t="s">
        <v>52</v>
      </c>
      <c r="C52" t="str">
        <f t="shared" si="1"/>
        <v>Battery</v>
      </c>
      <c r="G52">
        <v>1</v>
      </c>
      <c r="H52">
        <v>299.2</v>
      </c>
      <c r="I52">
        <v>253.56</v>
      </c>
      <c r="J52" t="s">
        <v>15</v>
      </c>
      <c r="K52">
        <v>13</v>
      </c>
      <c r="L52">
        <v>1070</v>
      </c>
      <c r="M52">
        <v>869336</v>
      </c>
    </row>
    <row r="53" spans="1:13" x14ac:dyDescent="0.3">
      <c r="A53" s="1">
        <v>44261</v>
      </c>
      <c r="B53" t="s">
        <v>58</v>
      </c>
      <c r="C53" t="str">
        <f t="shared" si="1"/>
        <v>Battery</v>
      </c>
      <c r="G53">
        <v>1</v>
      </c>
      <c r="H53">
        <v>175.68</v>
      </c>
      <c r="I53">
        <v>148.88</v>
      </c>
      <c r="J53" t="s">
        <v>59</v>
      </c>
      <c r="K53">
        <v>13</v>
      </c>
      <c r="L53">
        <v>1070</v>
      </c>
      <c r="M53">
        <v>900003</v>
      </c>
    </row>
    <row r="54" spans="1:13" x14ac:dyDescent="0.3">
      <c r="A54" s="1">
        <v>44261</v>
      </c>
      <c r="B54" t="s">
        <v>45</v>
      </c>
      <c r="C54" t="str">
        <f t="shared" si="1"/>
        <v>Oil</v>
      </c>
      <c r="G54">
        <v>4</v>
      </c>
      <c r="H54">
        <v>105</v>
      </c>
      <c r="I54">
        <v>88.98</v>
      </c>
      <c r="J54" t="s">
        <v>19</v>
      </c>
      <c r="K54">
        <v>14</v>
      </c>
      <c r="L54">
        <v>1070</v>
      </c>
      <c r="M54">
        <v>900003</v>
      </c>
    </row>
    <row r="55" spans="1:13" x14ac:dyDescent="0.3">
      <c r="A55" s="1">
        <v>44261</v>
      </c>
      <c r="B55" t="s">
        <v>20</v>
      </c>
      <c r="C55" t="str">
        <f t="shared" si="1"/>
        <v>Oil</v>
      </c>
      <c r="G55">
        <v>4</v>
      </c>
      <c r="H55">
        <v>105</v>
      </c>
      <c r="I55">
        <v>88.98</v>
      </c>
      <c r="J55" t="s">
        <v>19</v>
      </c>
      <c r="K55">
        <v>14</v>
      </c>
      <c r="L55">
        <v>1070</v>
      </c>
      <c r="M55">
        <v>678014</v>
      </c>
    </row>
    <row r="56" spans="1:13" x14ac:dyDescent="0.3">
      <c r="A56" s="1">
        <v>44261</v>
      </c>
      <c r="B56" t="s">
        <v>42</v>
      </c>
      <c r="C56" t="str">
        <f t="shared" si="1"/>
        <v>Oil</v>
      </c>
      <c r="G56">
        <v>3</v>
      </c>
      <c r="H56">
        <v>83.25</v>
      </c>
      <c r="I56">
        <v>70.55</v>
      </c>
      <c r="J56" t="s">
        <v>19</v>
      </c>
      <c r="K56">
        <v>14</v>
      </c>
      <c r="L56">
        <v>1070</v>
      </c>
      <c r="M56">
        <v>678014</v>
      </c>
    </row>
    <row r="57" spans="1:13" x14ac:dyDescent="0.3">
      <c r="A57" s="1">
        <v>44261</v>
      </c>
      <c r="B57" t="s">
        <v>60</v>
      </c>
      <c r="C57" t="str">
        <f t="shared" si="1"/>
        <v>Battery</v>
      </c>
      <c r="G57">
        <v>1</v>
      </c>
      <c r="H57">
        <v>128.88</v>
      </c>
      <c r="I57">
        <v>109.22</v>
      </c>
      <c r="J57" t="s">
        <v>59</v>
      </c>
      <c r="K57">
        <v>13</v>
      </c>
      <c r="L57">
        <v>1070</v>
      </c>
      <c r="M57">
        <v>900003</v>
      </c>
    </row>
    <row r="58" spans="1:13" x14ac:dyDescent="0.3">
      <c r="A58" s="1">
        <v>44261</v>
      </c>
      <c r="B58" t="s">
        <v>61</v>
      </c>
      <c r="C58" t="str">
        <f t="shared" si="1"/>
        <v>Tire</v>
      </c>
      <c r="D58" s="4"/>
      <c r="G58">
        <v>2</v>
      </c>
      <c r="H58">
        <v>270</v>
      </c>
      <c r="I58">
        <v>228.81</v>
      </c>
      <c r="J58" t="s">
        <v>33</v>
      </c>
      <c r="K58">
        <v>11</v>
      </c>
      <c r="L58">
        <v>1070</v>
      </c>
      <c r="M58">
        <v>622291</v>
      </c>
    </row>
    <row r="59" spans="1:13" x14ac:dyDescent="0.3">
      <c r="A59" s="1">
        <v>44261</v>
      </c>
      <c r="B59" t="s">
        <v>34</v>
      </c>
      <c r="C59" t="str">
        <f t="shared" si="1"/>
        <v>Battery</v>
      </c>
      <c r="G59">
        <v>1</v>
      </c>
      <c r="H59">
        <v>175.2</v>
      </c>
      <c r="I59">
        <v>148.47</v>
      </c>
      <c r="J59" t="s">
        <v>15</v>
      </c>
      <c r="K59">
        <v>13</v>
      </c>
      <c r="L59">
        <v>1070</v>
      </c>
      <c r="M59">
        <v>638371</v>
      </c>
    </row>
    <row r="60" spans="1:13" x14ac:dyDescent="0.3">
      <c r="A60" s="1">
        <v>44263</v>
      </c>
      <c r="B60" t="s">
        <v>62</v>
      </c>
      <c r="C60" t="str">
        <f t="shared" si="1"/>
        <v>Oil</v>
      </c>
      <c r="G60">
        <v>1</v>
      </c>
      <c r="H60">
        <v>31.5</v>
      </c>
      <c r="I60">
        <v>26.69</v>
      </c>
      <c r="J60" t="s">
        <v>19</v>
      </c>
      <c r="K60">
        <v>14</v>
      </c>
      <c r="L60">
        <v>1070</v>
      </c>
      <c r="M60">
        <v>810563</v>
      </c>
    </row>
    <row r="61" spans="1:13" x14ac:dyDescent="0.3">
      <c r="A61" s="1">
        <v>44263</v>
      </c>
      <c r="B61" t="s">
        <v>52</v>
      </c>
      <c r="C61" t="str">
        <f t="shared" si="1"/>
        <v>Battery</v>
      </c>
      <c r="G61">
        <v>1</v>
      </c>
      <c r="H61">
        <v>299.2</v>
      </c>
      <c r="I61">
        <v>253.56</v>
      </c>
      <c r="J61" t="s">
        <v>15</v>
      </c>
      <c r="K61">
        <v>13</v>
      </c>
      <c r="L61">
        <v>1070</v>
      </c>
      <c r="M61">
        <v>900003</v>
      </c>
    </row>
    <row r="62" spans="1:13" x14ac:dyDescent="0.3">
      <c r="A62" s="1">
        <v>44263</v>
      </c>
      <c r="B62" t="s">
        <v>30</v>
      </c>
      <c r="C62" t="str">
        <f t="shared" si="1"/>
        <v>Battery</v>
      </c>
      <c r="G62">
        <v>1</v>
      </c>
      <c r="H62">
        <v>651.20000000000005</v>
      </c>
      <c r="I62">
        <v>551.86</v>
      </c>
      <c r="J62" t="s">
        <v>15</v>
      </c>
      <c r="K62">
        <v>13</v>
      </c>
      <c r="L62">
        <v>1070</v>
      </c>
      <c r="M62">
        <v>900003</v>
      </c>
    </row>
    <row r="63" spans="1:13" x14ac:dyDescent="0.3">
      <c r="A63" s="1">
        <v>44263</v>
      </c>
      <c r="B63" t="s">
        <v>63</v>
      </c>
      <c r="C63" t="str">
        <f t="shared" si="1"/>
        <v>Battery</v>
      </c>
      <c r="G63">
        <v>1</v>
      </c>
      <c r="H63">
        <v>251.28</v>
      </c>
      <c r="I63">
        <v>212.95</v>
      </c>
      <c r="J63" t="s">
        <v>59</v>
      </c>
      <c r="K63">
        <v>13</v>
      </c>
      <c r="L63">
        <v>1070</v>
      </c>
      <c r="M63">
        <v>858713</v>
      </c>
    </row>
    <row r="64" spans="1:13" x14ac:dyDescent="0.3">
      <c r="A64" s="1">
        <v>44263</v>
      </c>
      <c r="B64" t="s">
        <v>64</v>
      </c>
      <c r="C64" t="str">
        <f t="shared" si="1"/>
        <v>Oil</v>
      </c>
      <c r="G64">
        <v>4</v>
      </c>
      <c r="H64">
        <v>120.96</v>
      </c>
      <c r="I64">
        <v>102.51</v>
      </c>
      <c r="J64" t="s">
        <v>25</v>
      </c>
      <c r="K64">
        <v>14</v>
      </c>
      <c r="L64">
        <v>1070</v>
      </c>
      <c r="M64">
        <v>665307</v>
      </c>
    </row>
    <row r="65" spans="1:13" x14ac:dyDescent="0.3">
      <c r="A65" s="1">
        <v>44263</v>
      </c>
      <c r="B65" t="s">
        <v>65</v>
      </c>
      <c r="C65" t="str">
        <f t="shared" si="1"/>
        <v>Battery</v>
      </c>
      <c r="G65">
        <v>1</v>
      </c>
      <c r="H65">
        <v>211.67</v>
      </c>
      <c r="I65">
        <v>179.38</v>
      </c>
      <c r="J65" t="s">
        <v>59</v>
      </c>
      <c r="K65">
        <v>13</v>
      </c>
      <c r="L65">
        <v>1070</v>
      </c>
      <c r="M65">
        <v>840956</v>
      </c>
    </row>
    <row r="66" spans="1:13" x14ac:dyDescent="0.3">
      <c r="A66" s="1">
        <v>44263</v>
      </c>
      <c r="B66" t="s">
        <v>66</v>
      </c>
      <c r="C66" t="str">
        <f t="shared" ref="C66:C97" si="2">IF(LEFT($B66,FIND(" ",$B66)-1)=$D$2,"Oil",IF(LEFT($B66,FIND(" ",$B66)-1)=$D$3,"Battery", IF(LEFT($B66, FIND(" ", $B66)-1) = $D$4, "Tire", " "      )                   ))</f>
        <v>Tire</v>
      </c>
      <c r="D66" s="4"/>
      <c r="G66">
        <v>4</v>
      </c>
      <c r="H66" s="2">
        <v>1120</v>
      </c>
      <c r="I66">
        <v>949.15</v>
      </c>
      <c r="J66" t="s">
        <v>39</v>
      </c>
      <c r="K66">
        <v>11</v>
      </c>
      <c r="L66">
        <v>1070</v>
      </c>
      <c r="M66">
        <v>604059</v>
      </c>
    </row>
    <row r="67" spans="1:13" x14ac:dyDescent="0.3">
      <c r="A67" s="1">
        <v>44263</v>
      </c>
      <c r="B67" t="s">
        <v>28</v>
      </c>
      <c r="C67" t="str">
        <f t="shared" si="2"/>
        <v>Battery</v>
      </c>
      <c r="G67">
        <v>1</v>
      </c>
      <c r="H67">
        <v>435.2</v>
      </c>
      <c r="I67">
        <v>368.81</v>
      </c>
      <c r="J67" t="s">
        <v>15</v>
      </c>
      <c r="K67">
        <v>13</v>
      </c>
      <c r="L67">
        <v>1070</v>
      </c>
      <c r="M67">
        <v>900003</v>
      </c>
    </row>
    <row r="68" spans="1:13" x14ac:dyDescent="0.3">
      <c r="A68" s="1">
        <v>44263</v>
      </c>
      <c r="B68" t="s">
        <v>64</v>
      </c>
      <c r="C68" t="str">
        <f t="shared" si="2"/>
        <v>Oil</v>
      </c>
      <c r="G68">
        <v>4</v>
      </c>
      <c r="H68">
        <v>120.96</v>
      </c>
      <c r="I68">
        <v>102.51</v>
      </c>
      <c r="J68" t="s">
        <v>25</v>
      </c>
      <c r="K68">
        <v>14</v>
      </c>
      <c r="L68">
        <v>1070</v>
      </c>
      <c r="M68">
        <v>900003</v>
      </c>
    </row>
    <row r="69" spans="1:13" x14ac:dyDescent="0.3">
      <c r="A69" s="1">
        <v>44263</v>
      </c>
      <c r="B69" t="s">
        <v>63</v>
      </c>
      <c r="C69" t="str">
        <f t="shared" si="2"/>
        <v>Battery</v>
      </c>
      <c r="G69">
        <v>1</v>
      </c>
      <c r="H69">
        <v>251.28</v>
      </c>
      <c r="I69">
        <v>212.95</v>
      </c>
      <c r="J69" t="s">
        <v>59</v>
      </c>
      <c r="K69">
        <v>13</v>
      </c>
      <c r="L69">
        <v>1070</v>
      </c>
      <c r="M69">
        <v>609892</v>
      </c>
    </row>
    <row r="70" spans="1:13" x14ac:dyDescent="0.3">
      <c r="A70" s="1">
        <v>44263</v>
      </c>
      <c r="B70" t="s">
        <v>64</v>
      </c>
      <c r="C70" t="str">
        <f t="shared" si="2"/>
        <v>Oil</v>
      </c>
      <c r="G70">
        <v>4</v>
      </c>
      <c r="H70">
        <v>120.96</v>
      </c>
      <c r="I70">
        <v>102.51</v>
      </c>
      <c r="J70" t="s">
        <v>25</v>
      </c>
      <c r="K70">
        <v>14</v>
      </c>
      <c r="L70">
        <v>1070</v>
      </c>
      <c r="M70">
        <v>776118</v>
      </c>
    </row>
    <row r="71" spans="1:13" x14ac:dyDescent="0.3">
      <c r="A71" s="1">
        <v>44263</v>
      </c>
      <c r="B71" t="s">
        <v>64</v>
      </c>
      <c r="C71" t="str">
        <f t="shared" si="2"/>
        <v>Oil</v>
      </c>
      <c r="G71">
        <v>4</v>
      </c>
      <c r="H71">
        <v>120.96</v>
      </c>
      <c r="I71">
        <v>102.51</v>
      </c>
      <c r="J71" t="s">
        <v>25</v>
      </c>
      <c r="K71">
        <v>14</v>
      </c>
      <c r="L71">
        <v>1070</v>
      </c>
      <c r="M71">
        <v>652290</v>
      </c>
    </row>
    <row r="72" spans="1:13" x14ac:dyDescent="0.3">
      <c r="A72" s="1">
        <v>44263</v>
      </c>
      <c r="B72" t="s">
        <v>67</v>
      </c>
      <c r="C72" t="str">
        <f t="shared" si="2"/>
        <v>Oil</v>
      </c>
      <c r="G72">
        <v>2</v>
      </c>
      <c r="H72">
        <v>64.8</v>
      </c>
      <c r="I72">
        <v>54.92</v>
      </c>
      <c r="J72" t="s">
        <v>25</v>
      </c>
      <c r="K72">
        <v>14</v>
      </c>
      <c r="L72">
        <v>1070</v>
      </c>
      <c r="M72">
        <v>638842</v>
      </c>
    </row>
    <row r="73" spans="1:13" x14ac:dyDescent="0.3">
      <c r="A73" s="1">
        <v>44263</v>
      </c>
      <c r="B73" t="s">
        <v>16</v>
      </c>
      <c r="C73" t="str">
        <f t="shared" si="2"/>
        <v>Battery</v>
      </c>
      <c r="G73">
        <v>1</v>
      </c>
      <c r="H73">
        <v>731.2</v>
      </c>
      <c r="I73">
        <v>619.66</v>
      </c>
      <c r="J73" t="s">
        <v>15</v>
      </c>
      <c r="K73">
        <v>13</v>
      </c>
      <c r="L73">
        <v>1070</v>
      </c>
      <c r="M73">
        <v>900003</v>
      </c>
    </row>
    <row r="74" spans="1:13" x14ac:dyDescent="0.3">
      <c r="A74" s="1">
        <v>44263</v>
      </c>
      <c r="B74" t="s">
        <v>64</v>
      </c>
      <c r="C74" t="str">
        <f t="shared" si="2"/>
        <v>Oil</v>
      </c>
      <c r="G74">
        <v>4</v>
      </c>
      <c r="H74">
        <v>120.96</v>
      </c>
      <c r="I74">
        <v>102.51</v>
      </c>
      <c r="J74" t="s">
        <v>25</v>
      </c>
      <c r="K74">
        <v>14</v>
      </c>
      <c r="L74">
        <v>1070</v>
      </c>
      <c r="M74">
        <v>624333</v>
      </c>
    </row>
    <row r="75" spans="1:13" x14ac:dyDescent="0.3">
      <c r="A75" s="1">
        <v>44264</v>
      </c>
      <c r="B75" t="s">
        <v>68</v>
      </c>
      <c r="C75" t="str">
        <f t="shared" si="2"/>
        <v>Tire</v>
      </c>
      <c r="D75" s="4"/>
      <c r="G75">
        <v>2</v>
      </c>
      <c r="H75">
        <v>263.5</v>
      </c>
      <c r="I75">
        <v>223.31</v>
      </c>
      <c r="J75" t="s">
        <v>69</v>
      </c>
      <c r="K75">
        <v>11</v>
      </c>
      <c r="L75">
        <v>1070</v>
      </c>
      <c r="M75">
        <v>263846</v>
      </c>
    </row>
    <row r="76" spans="1:13" x14ac:dyDescent="0.3">
      <c r="A76" s="1">
        <v>44264</v>
      </c>
      <c r="B76" t="s">
        <v>67</v>
      </c>
      <c r="C76" t="str">
        <f t="shared" si="2"/>
        <v>Oil</v>
      </c>
      <c r="G76">
        <v>1</v>
      </c>
      <c r="H76">
        <v>32.4</v>
      </c>
      <c r="I76">
        <v>27.46</v>
      </c>
      <c r="J76" t="s">
        <v>25</v>
      </c>
      <c r="K76">
        <v>14</v>
      </c>
      <c r="L76">
        <v>1070</v>
      </c>
      <c r="M76">
        <v>682521</v>
      </c>
    </row>
    <row r="77" spans="1:13" x14ac:dyDescent="0.3">
      <c r="A77" s="1">
        <v>44264</v>
      </c>
      <c r="B77" t="s">
        <v>64</v>
      </c>
      <c r="C77" t="str">
        <f t="shared" si="2"/>
        <v>Oil</v>
      </c>
      <c r="G77">
        <v>4</v>
      </c>
      <c r="H77">
        <v>120.96</v>
      </c>
      <c r="I77">
        <v>102.51</v>
      </c>
      <c r="J77" t="s">
        <v>25</v>
      </c>
      <c r="K77">
        <v>14</v>
      </c>
      <c r="L77">
        <v>1070</v>
      </c>
      <c r="M77">
        <v>900003</v>
      </c>
    </row>
    <row r="78" spans="1:13" x14ac:dyDescent="0.3">
      <c r="A78" s="1">
        <v>44264</v>
      </c>
      <c r="B78" t="s">
        <v>64</v>
      </c>
      <c r="C78" t="str">
        <f t="shared" si="2"/>
        <v>Oil</v>
      </c>
      <c r="G78">
        <v>4</v>
      </c>
      <c r="H78">
        <v>120.96</v>
      </c>
      <c r="I78">
        <v>102.51</v>
      </c>
      <c r="J78" t="s">
        <v>25</v>
      </c>
      <c r="K78">
        <v>14</v>
      </c>
      <c r="L78">
        <v>1070</v>
      </c>
      <c r="M78">
        <v>858748</v>
      </c>
    </row>
    <row r="79" spans="1:13" x14ac:dyDescent="0.3">
      <c r="A79" s="1">
        <v>44264</v>
      </c>
      <c r="B79" t="s">
        <v>64</v>
      </c>
      <c r="C79" t="str">
        <f t="shared" si="2"/>
        <v>Oil</v>
      </c>
      <c r="G79">
        <v>4</v>
      </c>
      <c r="H79">
        <v>120.96</v>
      </c>
      <c r="I79">
        <v>102.51</v>
      </c>
      <c r="J79" t="s">
        <v>25</v>
      </c>
      <c r="K79">
        <v>14</v>
      </c>
      <c r="L79">
        <v>1070</v>
      </c>
      <c r="M79">
        <v>900003</v>
      </c>
    </row>
    <row r="80" spans="1:13" x14ac:dyDescent="0.3">
      <c r="A80" s="1">
        <v>44264</v>
      </c>
      <c r="B80" t="s">
        <v>14</v>
      </c>
      <c r="C80" t="str">
        <f t="shared" si="2"/>
        <v>Battery</v>
      </c>
      <c r="G80">
        <v>1</v>
      </c>
      <c r="H80">
        <v>263.2</v>
      </c>
      <c r="I80">
        <v>223.05</v>
      </c>
      <c r="J80" t="s">
        <v>15</v>
      </c>
      <c r="K80">
        <v>13</v>
      </c>
      <c r="L80">
        <v>1070</v>
      </c>
      <c r="M80">
        <v>900003</v>
      </c>
    </row>
    <row r="81" spans="1:13" x14ac:dyDescent="0.3">
      <c r="A81" s="1">
        <v>44264</v>
      </c>
      <c r="B81" t="s">
        <v>70</v>
      </c>
      <c r="C81" t="str">
        <f t="shared" si="2"/>
        <v>Battery</v>
      </c>
      <c r="G81">
        <v>1</v>
      </c>
      <c r="H81">
        <v>687.65</v>
      </c>
      <c r="I81">
        <v>582.75</v>
      </c>
      <c r="J81" t="s">
        <v>71</v>
      </c>
      <c r="K81">
        <v>13</v>
      </c>
      <c r="L81">
        <v>1070</v>
      </c>
      <c r="M81">
        <v>809515</v>
      </c>
    </row>
    <row r="82" spans="1:13" x14ac:dyDescent="0.3">
      <c r="A82" s="1">
        <v>44264</v>
      </c>
      <c r="B82" t="s">
        <v>52</v>
      </c>
      <c r="C82" t="str">
        <f t="shared" si="2"/>
        <v>Battery</v>
      </c>
      <c r="G82">
        <v>1</v>
      </c>
      <c r="H82">
        <v>299.2</v>
      </c>
      <c r="I82">
        <v>253.56</v>
      </c>
      <c r="J82" t="s">
        <v>15</v>
      </c>
      <c r="K82">
        <v>13</v>
      </c>
      <c r="L82">
        <v>1070</v>
      </c>
      <c r="M82">
        <v>900003</v>
      </c>
    </row>
    <row r="83" spans="1:13" x14ac:dyDescent="0.3">
      <c r="A83" s="1">
        <v>44264</v>
      </c>
      <c r="B83" t="s">
        <v>45</v>
      </c>
      <c r="C83" t="str">
        <f t="shared" si="2"/>
        <v>Oil</v>
      </c>
      <c r="G83">
        <v>4</v>
      </c>
      <c r="H83">
        <v>105</v>
      </c>
      <c r="I83">
        <v>88.99</v>
      </c>
      <c r="J83" t="s">
        <v>19</v>
      </c>
      <c r="K83">
        <v>14</v>
      </c>
      <c r="L83">
        <v>1070</v>
      </c>
      <c r="M83">
        <v>776672</v>
      </c>
    </row>
    <row r="84" spans="1:13" x14ac:dyDescent="0.3">
      <c r="A84" s="1">
        <v>44264</v>
      </c>
      <c r="B84" t="s">
        <v>53</v>
      </c>
      <c r="C84" t="str">
        <f t="shared" si="2"/>
        <v>Oil</v>
      </c>
      <c r="G84">
        <v>7</v>
      </c>
      <c r="H84">
        <v>168</v>
      </c>
      <c r="I84">
        <v>142.37</v>
      </c>
      <c r="J84" t="s">
        <v>19</v>
      </c>
      <c r="K84">
        <v>14</v>
      </c>
      <c r="L84">
        <v>1070</v>
      </c>
      <c r="M84">
        <v>900003</v>
      </c>
    </row>
    <row r="85" spans="1:13" x14ac:dyDescent="0.3">
      <c r="A85" s="1">
        <v>44264</v>
      </c>
      <c r="B85" t="s">
        <v>37</v>
      </c>
      <c r="C85" t="str">
        <f t="shared" si="2"/>
        <v>Battery</v>
      </c>
      <c r="G85">
        <v>1</v>
      </c>
      <c r="H85">
        <v>403.2</v>
      </c>
      <c r="I85">
        <v>341.69</v>
      </c>
      <c r="J85" t="s">
        <v>15</v>
      </c>
      <c r="K85">
        <v>13</v>
      </c>
      <c r="L85">
        <v>1070</v>
      </c>
      <c r="M85">
        <v>867578</v>
      </c>
    </row>
    <row r="86" spans="1:13" x14ac:dyDescent="0.3">
      <c r="A86" s="1">
        <v>44264</v>
      </c>
      <c r="B86" t="s">
        <v>72</v>
      </c>
      <c r="C86" t="str">
        <f t="shared" si="2"/>
        <v>Oil</v>
      </c>
      <c r="G86">
        <v>1</v>
      </c>
      <c r="H86">
        <v>45</v>
      </c>
      <c r="I86">
        <v>38.14</v>
      </c>
      <c r="J86" t="s">
        <v>25</v>
      </c>
      <c r="K86">
        <v>14</v>
      </c>
      <c r="L86">
        <v>1070</v>
      </c>
      <c r="M86">
        <v>900003</v>
      </c>
    </row>
    <row r="87" spans="1:13" x14ac:dyDescent="0.3">
      <c r="A87" s="1">
        <v>44264</v>
      </c>
      <c r="B87" t="s">
        <v>64</v>
      </c>
      <c r="C87" t="str">
        <f t="shared" si="2"/>
        <v>Oil</v>
      </c>
      <c r="G87">
        <v>8</v>
      </c>
      <c r="H87">
        <v>241.92</v>
      </c>
      <c r="I87">
        <v>205.02</v>
      </c>
      <c r="J87" t="s">
        <v>25</v>
      </c>
      <c r="K87">
        <v>14</v>
      </c>
      <c r="L87">
        <v>1070</v>
      </c>
      <c r="M87">
        <v>256906</v>
      </c>
    </row>
    <row r="88" spans="1:13" x14ac:dyDescent="0.3">
      <c r="A88" s="1">
        <v>44264</v>
      </c>
      <c r="B88" t="s">
        <v>64</v>
      </c>
      <c r="C88" t="str">
        <f t="shared" si="2"/>
        <v>Oil</v>
      </c>
      <c r="G88">
        <v>8</v>
      </c>
      <c r="H88">
        <v>241.92</v>
      </c>
      <c r="I88">
        <v>205.02</v>
      </c>
      <c r="J88" t="s">
        <v>25</v>
      </c>
      <c r="K88">
        <v>14</v>
      </c>
      <c r="L88">
        <v>1070</v>
      </c>
      <c r="M88">
        <v>256906</v>
      </c>
    </row>
    <row r="89" spans="1:13" x14ac:dyDescent="0.3">
      <c r="A89" s="1">
        <v>44264</v>
      </c>
      <c r="B89" t="s">
        <v>64</v>
      </c>
      <c r="C89" t="str">
        <f t="shared" si="2"/>
        <v>Oil</v>
      </c>
      <c r="G89">
        <v>4</v>
      </c>
      <c r="H89">
        <v>120.96</v>
      </c>
      <c r="I89">
        <v>102.51</v>
      </c>
      <c r="J89" t="s">
        <v>25</v>
      </c>
      <c r="K89">
        <v>14</v>
      </c>
      <c r="L89">
        <v>1070</v>
      </c>
      <c r="M89">
        <v>278442</v>
      </c>
    </row>
    <row r="90" spans="1:13" x14ac:dyDescent="0.3">
      <c r="A90" s="1">
        <v>44264</v>
      </c>
      <c r="B90" t="s">
        <v>67</v>
      </c>
      <c r="C90" t="str">
        <f t="shared" si="2"/>
        <v>Oil</v>
      </c>
      <c r="G90">
        <v>3</v>
      </c>
      <c r="H90">
        <v>97.19</v>
      </c>
      <c r="I90">
        <v>82.36</v>
      </c>
      <c r="J90" t="s">
        <v>25</v>
      </c>
      <c r="K90">
        <v>14</v>
      </c>
      <c r="L90">
        <v>1070</v>
      </c>
      <c r="M90">
        <v>600887</v>
      </c>
    </row>
    <row r="91" spans="1:13" x14ac:dyDescent="0.3">
      <c r="A91" s="1">
        <v>44265</v>
      </c>
      <c r="B91" t="s">
        <v>64</v>
      </c>
      <c r="C91" t="str">
        <f t="shared" si="2"/>
        <v>Oil</v>
      </c>
      <c r="G91">
        <v>8</v>
      </c>
      <c r="H91">
        <v>241.92</v>
      </c>
      <c r="I91">
        <v>205.02</v>
      </c>
      <c r="J91" t="s">
        <v>25</v>
      </c>
      <c r="K91">
        <v>14</v>
      </c>
      <c r="L91">
        <v>1070</v>
      </c>
      <c r="M91">
        <v>256906</v>
      </c>
    </row>
    <row r="92" spans="1:13" x14ac:dyDescent="0.3">
      <c r="A92" s="1">
        <v>44265</v>
      </c>
      <c r="B92" t="s">
        <v>67</v>
      </c>
      <c r="C92" t="str">
        <f t="shared" si="2"/>
        <v>Oil</v>
      </c>
      <c r="G92">
        <v>4</v>
      </c>
      <c r="H92">
        <v>129.6</v>
      </c>
      <c r="I92">
        <v>109.83</v>
      </c>
      <c r="J92" t="s">
        <v>25</v>
      </c>
      <c r="K92">
        <v>14</v>
      </c>
      <c r="L92">
        <v>1070</v>
      </c>
      <c r="M92">
        <v>900003</v>
      </c>
    </row>
    <row r="93" spans="1:13" x14ac:dyDescent="0.3">
      <c r="A93" s="1">
        <v>44265</v>
      </c>
      <c r="B93" t="s">
        <v>67</v>
      </c>
      <c r="C93" t="str">
        <f t="shared" si="2"/>
        <v>Oil</v>
      </c>
      <c r="G93">
        <v>1</v>
      </c>
      <c r="H93">
        <v>32.4</v>
      </c>
      <c r="I93">
        <v>27.46</v>
      </c>
      <c r="J93" t="s">
        <v>25</v>
      </c>
      <c r="K93">
        <v>14</v>
      </c>
      <c r="L93">
        <v>1070</v>
      </c>
      <c r="M93">
        <v>605353</v>
      </c>
    </row>
    <row r="94" spans="1:13" x14ac:dyDescent="0.3">
      <c r="A94" s="1">
        <v>44265</v>
      </c>
      <c r="B94" t="s">
        <v>67</v>
      </c>
      <c r="C94" t="str">
        <f t="shared" si="2"/>
        <v>Oil</v>
      </c>
      <c r="G94">
        <v>3</v>
      </c>
      <c r="H94">
        <v>97.19</v>
      </c>
      <c r="I94">
        <v>82.36</v>
      </c>
      <c r="J94" t="s">
        <v>25</v>
      </c>
      <c r="K94">
        <v>14</v>
      </c>
      <c r="L94">
        <v>1070</v>
      </c>
      <c r="M94">
        <v>765342</v>
      </c>
    </row>
    <row r="95" spans="1:13" x14ac:dyDescent="0.3">
      <c r="A95" s="1">
        <v>44265</v>
      </c>
      <c r="B95" t="s">
        <v>67</v>
      </c>
      <c r="C95" t="str">
        <f t="shared" si="2"/>
        <v>Oil</v>
      </c>
      <c r="G95">
        <v>3</v>
      </c>
      <c r="H95">
        <v>97.19</v>
      </c>
      <c r="I95">
        <v>82.36</v>
      </c>
      <c r="J95" t="s">
        <v>25</v>
      </c>
      <c r="K95">
        <v>14</v>
      </c>
      <c r="L95">
        <v>1070</v>
      </c>
      <c r="M95">
        <v>627962</v>
      </c>
    </row>
    <row r="96" spans="1:13" x14ac:dyDescent="0.3">
      <c r="A96" s="1">
        <v>44265</v>
      </c>
      <c r="B96" t="s">
        <v>67</v>
      </c>
      <c r="C96" t="str">
        <f t="shared" si="2"/>
        <v>Oil</v>
      </c>
      <c r="G96">
        <v>1</v>
      </c>
      <c r="H96">
        <v>32.4</v>
      </c>
      <c r="I96">
        <v>27.46</v>
      </c>
      <c r="J96" t="s">
        <v>25</v>
      </c>
      <c r="K96">
        <v>14</v>
      </c>
      <c r="L96">
        <v>1070</v>
      </c>
      <c r="M96">
        <v>900003</v>
      </c>
    </row>
    <row r="97" spans="1:13" x14ac:dyDescent="0.3">
      <c r="A97" s="1">
        <v>44265</v>
      </c>
      <c r="B97" t="s">
        <v>64</v>
      </c>
      <c r="C97" t="str">
        <f t="shared" si="2"/>
        <v>Oil</v>
      </c>
      <c r="G97">
        <v>4</v>
      </c>
      <c r="H97">
        <v>120.96</v>
      </c>
      <c r="I97">
        <v>102.51</v>
      </c>
      <c r="J97" t="s">
        <v>25</v>
      </c>
      <c r="K97">
        <v>14</v>
      </c>
      <c r="L97">
        <v>1070</v>
      </c>
      <c r="M97">
        <v>900003</v>
      </c>
    </row>
    <row r="98" spans="1:13" x14ac:dyDescent="0.3">
      <c r="A98" s="1">
        <v>44265</v>
      </c>
      <c r="B98" t="s">
        <v>73</v>
      </c>
      <c r="C98" t="str">
        <f t="shared" ref="C98:C121" si="3">IF(LEFT($B98,FIND(" ",$B98)-1)=$D$2,"Oil",IF(LEFT($B98,FIND(" ",$B98)-1)=$D$3,"Battery", IF(LEFT($B98, FIND(" ", $B98)-1) = $D$4, "Tire", " "      )                   ))</f>
        <v>Oil</v>
      </c>
      <c r="G98">
        <v>2</v>
      </c>
      <c r="H98">
        <v>59.4</v>
      </c>
      <c r="I98">
        <v>50.34</v>
      </c>
      <c r="J98" t="s">
        <v>25</v>
      </c>
      <c r="K98">
        <v>14</v>
      </c>
      <c r="L98">
        <v>1070</v>
      </c>
      <c r="M98">
        <v>900003</v>
      </c>
    </row>
    <row r="99" spans="1:13" x14ac:dyDescent="0.3">
      <c r="A99" s="1">
        <v>44265</v>
      </c>
      <c r="B99" t="s">
        <v>74</v>
      </c>
      <c r="C99" t="str">
        <f t="shared" si="3"/>
        <v>Tire</v>
      </c>
      <c r="D99" s="4"/>
      <c r="G99">
        <v>4</v>
      </c>
      <c r="H99">
        <v>756</v>
      </c>
      <c r="I99">
        <v>640.67999999999995</v>
      </c>
      <c r="J99" t="s">
        <v>41</v>
      </c>
      <c r="K99">
        <v>11</v>
      </c>
      <c r="L99">
        <v>1070</v>
      </c>
      <c r="M99">
        <v>640429</v>
      </c>
    </row>
    <row r="100" spans="1:13" x14ac:dyDescent="0.3">
      <c r="A100" s="1">
        <v>44265</v>
      </c>
      <c r="B100" t="s">
        <v>75</v>
      </c>
      <c r="C100" t="str">
        <f t="shared" si="3"/>
        <v>Battery</v>
      </c>
      <c r="G100">
        <v>1</v>
      </c>
      <c r="H100">
        <v>89</v>
      </c>
      <c r="I100">
        <v>75.42</v>
      </c>
      <c r="J100" t="s">
        <v>76</v>
      </c>
      <c r="K100">
        <v>13</v>
      </c>
      <c r="L100">
        <v>1070</v>
      </c>
      <c r="M100">
        <v>900003</v>
      </c>
    </row>
    <row r="101" spans="1:13" x14ac:dyDescent="0.3">
      <c r="A101" s="1">
        <v>44265</v>
      </c>
      <c r="B101" t="s">
        <v>14</v>
      </c>
      <c r="C101" t="str">
        <f t="shared" si="3"/>
        <v>Battery</v>
      </c>
      <c r="G101">
        <v>1</v>
      </c>
      <c r="H101">
        <v>263.2</v>
      </c>
      <c r="I101">
        <v>223.05</v>
      </c>
      <c r="J101" t="s">
        <v>15</v>
      </c>
      <c r="K101">
        <v>13</v>
      </c>
      <c r="L101">
        <v>1070</v>
      </c>
      <c r="M101">
        <v>601558</v>
      </c>
    </row>
    <row r="102" spans="1:13" x14ac:dyDescent="0.3">
      <c r="A102" s="1">
        <v>44265</v>
      </c>
      <c r="B102" t="s">
        <v>30</v>
      </c>
      <c r="C102" t="str">
        <f t="shared" si="3"/>
        <v>Battery</v>
      </c>
      <c r="G102">
        <v>1</v>
      </c>
      <c r="H102">
        <v>651.20000000000005</v>
      </c>
      <c r="I102">
        <v>551.86</v>
      </c>
      <c r="J102" t="s">
        <v>15</v>
      </c>
      <c r="K102">
        <v>13</v>
      </c>
      <c r="L102">
        <v>1070</v>
      </c>
      <c r="M102">
        <v>236679</v>
      </c>
    </row>
    <row r="103" spans="1:13" x14ac:dyDescent="0.3">
      <c r="A103" s="1">
        <v>44266</v>
      </c>
      <c r="B103" t="s">
        <v>77</v>
      </c>
      <c r="C103" t="str">
        <f t="shared" si="3"/>
        <v>Tire</v>
      </c>
      <c r="G103">
        <v>2</v>
      </c>
      <c r="H103">
        <v>384</v>
      </c>
      <c r="I103">
        <v>325.42</v>
      </c>
      <c r="J103" t="s">
        <v>39</v>
      </c>
      <c r="K103">
        <v>11</v>
      </c>
      <c r="L103">
        <v>1070</v>
      </c>
      <c r="M103">
        <v>722878</v>
      </c>
    </row>
    <row r="104" spans="1:13" x14ac:dyDescent="0.3">
      <c r="A104" s="1">
        <v>44266</v>
      </c>
      <c r="B104" t="s">
        <v>78</v>
      </c>
      <c r="C104" t="str">
        <f t="shared" si="3"/>
        <v>Battery</v>
      </c>
      <c r="G104">
        <v>1</v>
      </c>
      <c r="H104">
        <v>219.2</v>
      </c>
      <c r="I104">
        <v>185.76</v>
      </c>
      <c r="J104" t="s">
        <v>15</v>
      </c>
      <c r="K104">
        <v>13</v>
      </c>
      <c r="L104">
        <v>1070</v>
      </c>
      <c r="M104">
        <v>900003</v>
      </c>
    </row>
    <row r="105" spans="1:13" x14ac:dyDescent="0.3">
      <c r="A105" s="1">
        <v>44266</v>
      </c>
      <c r="B105" t="s">
        <v>14</v>
      </c>
      <c r="C105" t="str">
        <f t="shared" si="3"/>
        <v>Battery</v>
      </c>
      <c r="G105">
        <v>1</v>
      </c>
      <c r="H105">
        <v>263.2</v>
      </c>
      <c r="I105">
        <v>223.05</v>
      </c>
      <c r="J105" t="s">
        <v>15</v>
      </c>
      <c r="K105">
        <v>13</v>
      </c>
      <c r="L105">
        <v>1070</v>
      </c>
      <c r="M105">
        <v>900003</v>
      </c>
    </row>
    <row r="106" spans="1:13" x14ac:dyDescent="0.3">
      <c r="A106" s="1">
        <v>44266</v>
      </c>
      <c r="B106" t="s">
        <v>79</v>
      </c>
      <c r="C106" t="str">
        <f t="shared" si="3"/>
        <v>Oil</v>
      </c>
      <c r="G106">
        <v>4</v>
      </c>
      <c r="H106">
        <v>162</v>
      </c>
      <c r="I106">
        <v>137.29</v>
      </c>
      <c r="J106" t="s">
        <v>25</v>
      </c>
      <c r="K106">
        <v>14</v>
      </c>
      <c r="L106">
        <v>1070</v>
      </c>
      <c r="M106">
        <v>842488</v>
      </c>
    </row>
    <row r="107" spans="1:13" x14ac:dyDescent="0.3">
      <c r="A107" s="1">
        <v>44266</v>
      </c>
      <c r="B107" t="s">
        <v>67</v>
      </c>
      <c r="C107" t="str">
        <f t="shared" si="3"/>
        <v>Oil</v>
      </c>
      <c r="G107">
        <v>5</v>
      </c>
      <c r="H107">
        <v>162</v>
      </c>
      <c r="I107">
        <v>137.29</v>
      </c>
      <c r="J107" t="s">
        <v>25</v>
      </c>
      <c r="K107">
        <v>14</v>
      </c>
      <c r="L107">
        <v>1070</v>
      </c>
      <c r="M107">
        <v>900003</v>
      </c>
    </row>
    <row r="108" spans="1:13" x14ac:dyDescent="0.3">
      <c r="A108" s="1">
        <v>44266</v>
      </c>
      <c r="B108" t="s">
        <v>80</v>
      </c>
      <c r="C108" t="str">
        <f t="shared" si="3"/>
        <v>Oil</v>
      </c>
      <c r="G108">
        <v>3</v>
      </c>
      <c r="H108">
        <v>112.5</v>
      </c>
      <c r="I108">
        <v>95.34</v>
      </c>
      <c r="J108" t="s">
        <v>27</v>
      </c>
      <c r="K108">
        <v>14</v>
      </c>
      <c r="L108">
        <v>1070</v>
      </c>
      <c r="M108">
        <v>695627</v>
      </c>
    </row>
    <row r="109" spans="1:13" x14ac:dyDescent="0.3">
      <c r="A109" s="1">
        <v>44266</v>
      </c>
      <c r="B109" t="s">
        <v>81</v>
      </c>
      <c r="C109" t="str">
        <f t="shared" si="3"/>
        <v>Oil</v>
      </c>
      <c r="G109">
        <v>4</v>
      </c>
      <c r="H109">
        <v>69</v>
      </c>
      <c r="I109">
        <v>58.47</v>
      </c>
      <c r="J109" t="s">
        <v>19</v>
      </c>
      <c r="K109">
        <v>14</v>
      </c>
      <c r="L109">
        <v>1070</v>
      </c>
      <c r="M109">
        <v>268160</v>
      </c>
    </row>
    <row r="110" spans="1:13" x14ac:dyDescent="0.3">
      <c r="A110" s="1">
        <v>44266</v>
      </c>
      <c r="B110" t="s">
        <v>82</v>
      </c>
      <c r="C110" t="str">
        <f t="shared" si="3"/>
        <v>Tire</v>
      </c>
      <c r="D110" s="4"/>
      <c r="G110">
        <v>4</v>
      </c>
      <c r="H110" s="2">
        <v>1440</v>
      </c>
      <c r="I110" s="2">
        <v>1220.3399999999999</v>
      </c>
      <c r="J110" t="s">
        <v>39</v>
      </c>
      <c r="K110">
        <v>11</v>
      </c>
      <c r="L110">
        <v>1070</v>
      </c>
      <c r="M110">
        <v>861673</v>
      </c>
    </row>
    <row r="111" spans="1:13" x14ac:dyDescent="0.3">
      <c r="A111" s="1">
        <v>44266</v>
      </c>
      <c r="B111" t="s">
        <v>83</v>
      </c>
      <c r="C111" t="str">
        <f t="shared" si="3"/>
        <v>Oil</v>
      </c>
      <c r="G111">
        <v>3</v>
      </c>
      <c r="H111">
        <v>83.7</v>
      </c>
      <c r="I111">
        <v>70.930000000000007</v>
      </c>
      <c r="J111" t="s">
        <v>25</v>
      </c>
      <c r="K111">
        <v>14</v>
      </c>
      <c r="L111">
        <v>1070</v>
      </c>
      <c r="M111">
        <v>823691</v>
      </c>
    </row>
    <row r="112" spans="1:13" x14ac:dyDescent="0.3">
      <c r="A112" s="1">
        <v>44267</v>
      </c>
      <c r="B112" t="s">
        <v>75</v>
      </c>
      <c r="C112" t="str">
        <f t="shared" si="3"/>
        <v>Battery</v>
      </c>
      <c r="G112">
        <v>1</v>
      </c>
      <c r="H112">
        <v>89</v>
      </c>
      <c r="I112">
        <v>75.42</v>
      </c>
      <c r="J112" t="s">
        <v>76</v>
      </c>
      <c r="K112">
        <v>13</v>
      </c>
      <c r="L112">
        <v>1070</v>
      </c>
      <c r="M112">
        <v>900003</v>
      </c>
    </row>
    <row r="113" spans="1:13" x14ac:dyDescent="0.3">
      <c r="A113" s="1">
        <v>44267</v>
      </c>
      <c r="B113" t="s">
        <v>84</v>
      </c>
      <c r="C113" t="str">
        <f t="shared" si="3"/>
        <v>Tire</v>
      </c>
      <c r="D113" s="4"/>
      <c r="G113">
        <v>2</v>
      </c>
      <c r="H113">
        <v>360</v>
      </c>
      <c r="I113">
        <v>305.08999999999997</v>
      </c>
      <c r="J113" t="s">
        <v>41</v>
      </c>
      <c r="K113">
        <v>11</v>
      </c>
      <c r="L113">
        <v>1070</v>
      </c>
      <c r="M113">
        <v>900003</v>
      </c>
    </row>
    <row r="114" spans="1:13" x14ac:dyDescent="0.3">
      <c r="A114" s="1">
        <v>44267</v>
      </c>
      <c r="B114" t="s">
        <v>85</v>
      </c>
      <c r="C114" t="str">
        <f t="shared" si="3"/>
        <v>Tire</v>
      </c>
      <c r="D114" s="4"/>
      <c r="G114">
        <v>2</v>
      </c>
      <c r="H114">
        <v>342</v>
      </c>
      <c r="I114">
        <v>289.83</v>
      </c>
      <c r="J114" t="s">
        <v>41</v>
      </c>
      <c r="K114">
        <v>11</v>
      </c>
      <c r="L114">
        <v>1070</v>
      </c>
      <c r="M114">
        <v>900003</v>
      </c>
    </row>
    <row r="115" spans="1:13" x14ac:dyDescent="0.3">
      <c r="A115" s="1">
        <v>44267</v>
      </c>
      <c r="B115" t="s">
        <v>42</v>
      </c>
      <c r="C115" t="str">
        <f t="shared" si="3"/>
        <v>Oil</v>
      </c>
      <c r="G115">
        <v>1</v>
      </c>
      <c r="H115">
        <v>27.75</v>
      </c>
      <c r="I115">
        <v>23.52</v>
      </c>
      <c r="J115" t="s">
        <v>19</v>
      </c>
      <c r="K115">
        <v>14</v>
      </c>
      <c r="L115">
        <v>1070</v>
      </c>
      <c r="M115">
        <v>208199</v>
      </c>
    </row>
    <row r="116" spans="1:13" x14ac:dyDescent="0.3">
      <c r="A116" s="1">
        <v>44267</v>
      </c>
      <c r="B116" t="s">
        <v>20</v>
      </c>
      <c r="C116" t="str">
        <f t="shared" si="3"/>
        <v>Oil</v>
      </c>
      <c r="G116">
        <v>8</v>
      </c>
      <c r="H116">
        <v>210</v>
      </c>
      <c r="I116">
        <v>177.96</v>
      </c>
      <c r="J116" t="s">
        <v>19</v>
      </c>
      <c r="K116">
        <v>14</v>
      </c>
      <c r="L116">
        <v>1070</v>
      </c>
      <c r="M116">
        <v>208199</v>
      </c>
    </row>
    <row r="117" spans="1:13" x14ac:dyDescent="0.3">
      <c r="A117" s="1">
        <v>44267</v>
      </c>
      <c r="B117" t="s">
        <v>30</v>
      </c>
      <c r="C117" t="str">
        <f t="shared" si="3"/>
        <v>Battery</v>
      </c>
      <c r="G117">
        <v>1</v>
      </c>
      <c r="H117">
        <v>651.20000000000005</v>
      </c>
      <c r="I117">
        <v>551.86</v>
      </c>
      <c r="J117" t="s">
        <v>15</v>
      </c>
      <c r="K117">
        <v>13</v>
      </c>
      <c r="L117">
        <v>1070</v>
      </c>
      <c r="M117">
        <v>800240</v>
      </c>
    </row>
    <row r="118" spans="1:13" x14ac:dyDescent="0.3">
      <c r="A118" s="1">
        <v>44267</v>
      </c>
      <c r="B118" t="s">
        <v>73</v>
      </c>
      <c r="C118" t="str">
        <f t="shared" si="3"/>
        <v>Oil</v>
      </c>
      <c r="G118">
        <v>2</v>
      </c>
      <c r="H118">
        <v>59.4</v>
      </c>
      <c r="I118">
        <v>50.34</v>
      </c>
      <c r="J118" t="s">
        <v>25</v>
      </c>
      <c r="K118">
        <v>14</v>
      </c>
      <c r="L118">
        <v>1070</v>
      </c>
      <c r="M118">
        <v>900003</v>
      </c>
    </row>
    <row r="119" spans="1:13" x14ac:dyDescent="0.3">
      <c r="A119" s="1">
        <v>44267</v>
      </c>
      <c r="B119" t="s">
        <v>86</v>
      </c>
      <c r="C119" t="str">
        <f t="shared" si="3"/>
        <v>Battery</v>
      </c>
      <c r="G119">
        <v>1</v>
      </c>
      <c r="H119">
        <v>387.2</v>
      </c>
      <c r="I119">
        <v>328.14</v>
      </c>
      <c r="J119" t="s">
        <v>15</v>
      </c>
      <c r="K119">
        <v>13</v>
      </c>
      <c r="L119">
        <v>1070</v>
      </c>
      <c r="M119">
        <v>678305</v>
      </c>
    </row>
    <row r="120" spans="1:13" x14ac:dyDescent="0.3">
      <c r="A120" s="1">
        <v>44267</v>
      </c>
      <c r="B120" t="s">
        <v>87</v>
      </c>
      <c r="C120" t="str">
        <f t="shared" si="3"/>
        <v>Tire</v>
      </c>
      <c r="D120" s="4"/>
      <c r="G120">
        <v>4</v>
      </c>
      <c r="H120" s="2">
        <v>1744</v>
      </c>
      <c r="I120" s="2">
        <v>1477.97</v>
      </c>
      <c r="J120" t="s">
        <v>39</v>
      </c>
      <c r="K120">
        <v>11</v>
      </c>
      <c r="L120">
        <v>1070</v>
      </c>
      <c r="M120">
        <v>900003</v>
      </c>
    </row>
    <row r="121" spans="1:13" x14ac:dyDescent="0.3">
      <c r="A121" s="1">
        <v>44267</v>
      </c>
      <c r="B121" t="s">
        <v>172</v>
      </c>
      <c r="C121" t="str">
        <f t="shared" si="3"/>
        <v>Oil</v>
      </c>
      <c r="G121">
        <v>8</v>
      </c>
      <c r="H121">
        <v>156</v>
      </c>
      <c r="I121">
        <v>132.19999999999999</v>
      </c>
      <c r="J121" t="s">
        <v>19</v>
      </c>
      <c r="K121">
        <v>14</v>
      </c>
      <c r="L121">
        <v>1070</v>
      </c>
      <c r="M121">
        <v>618641</v>
      </c>
    </row>
    <row r="122" spans="1:13" x14ac:dyDescent="0.3">
      <c r="A122" s="1">
        <v>44267</v>
      </c>
      <c r="B122" t="s">
        <v>173</v>
      </c>
      <c r="C122" t="s">
        <v>178</v>
      </c>
      <c r="D122" s="4"/>
      <c r="G122">
        <v>4</v>
      </c>
      <c r="H122">
        <v>576</v>
      </c>
      <c r="I122">
        <v>488.14</v>
      </c>
      <c r="J122" t="s">
        <v>174</v>
      </c>
      <c r="K122">
        <v>11</v>
      </c>
      <c r="L122">
        <v>1070</v>
      </c>
      <c r="M122">
        <v>618641</v>
      </c>
    </row>
    <row r="123" spans="1:13" x14ac:dyDescent="0.3">
      <c r="A123" s="6">
        <v>44267</v>
      </c>
      <c r="B123" s="7" t="s">
        <v>202</v>
      </c>
      <c r="C123" t="s">
        <v>178</v>
      </c>
      <c r="D123" s="4"/>
      <c r="G123" s="8">
        <v>4</v>
      </c>
      <c r="H123" s="9">
        <v>486</v>
      </c>
      <c r="I123" s="9">
        <v>411.86</v>
      </c>
      <c r="J123" s="7" t="s">
        <v>195</v>
      </c>
      <c r="K123">
        <v>11</v>
      </c>
      <c r="L123">
        <v>1070</v>
      </c>
      <c r="M123" s="7" t="s">
        <v>203</v>
      </c>
    </row>
    <row r="124" spans="1:13" x14ac:dyDescent="0.3">
      <c r="A124" s="6">
        <v>44267</v>
      </c>
      <c r="B124" s="7" t="s">
        <v>173</v>
      </c>
      <c r="C124" t="s">
        <v>178</v>
      </c>
      <c r="D124" s="4"/>
      <c r="G124" s="8">
        <v>4</v>
      </c>
      <c r="H124" s="9">
        <v>576</v>
      </c>
      <c r="I124" s="9">
        <v>488.14</v>
      </c>
      <c r="J124" s="7" t="s">
        <v>174</v>
      </c>
      <c r="K124">
        <v>11</v>
      </c>
      <c r="L124">
        <v>1070</v>
      </c>
      <c r="M124" s="7" t="s">
        <v>204</v>
      </c>
    </row>
    <row r="125" spans="1:13" x14ac:dyDescent="0.3">
      <c r="A125" s="1">
        <v>44268</v>
      </c>
      <c r="B125" t="s">
        <v>88</v>
      </c>
      <c r="C125" t="str">
        <f t="shared" ref="C125:C165" si="4">IF(LEFT($B125,FIND(" ",$B125)-1)=$D$2,"Oil",IF(LEFT($B125,FIND(" ",$B125)-1)=$D$3,"Battery", IF(LEFT($B125, FIND(" ", $B125)-1) = $D$4, "Tire", " "      )                   ))</f>
        <v>Tire</v>
      </c>
      <c r="D125" s="4"/>
      <c r="G125">
        <v>2</v>
      </c>
      <c r="H125">
        <v>744</v>
      </c>
      <c r="I125">
        <v>630.51</v>
      </c>
      <c r="J125" t="s">
        <v>39</v>
      </c>
      <c r="K125">
        <v>11</v>
      </c>
      <c r="L125">
        <v>1070</v>
      </c>
      <c r="M125">
        <v>744117</v>
      </c>
    </row>
    <row r="126" spans="1:13" x14ac:dyDescent="0.3">
      <c r="A126" s="1">
        <v>44268</v>
      </c>
      <c r="B126" t="s">
        <v>89</v>
      </c>
      <c r="C126" t="str">
        <f t="shared" si="4"/>
        <v>Battery</v>
      </c>
      <c r="G126">
        <v>1</v>
      </c>
      <c r="H126">
        <v>263.2</v>
      </c>
      <c r="I126">
        <v>223.05</v>
      </c>
      <c r="J126" t="s">
        <v>15</v>
      </c>
      <c r="K126">
        <v>13</v>
      </c>
      <c r="L126">
        <v>1070</v>
      </c>
      <c r="M126">
        <v>780958</v>
      </c>
    </row>
    <row r="127" spans="1:13" x14ac:dyDescent="0.3">
      <c r="A127" s="1">
        <v>44268</v>
      </c>
      <c r="B127" t="s">
        <v>75</v>
      </c>
      <c r="C127" t="str">
        <f t="shared" si="4"/>
        <v>Battery</v>
      </c>
      <c r="G127">
        <v>1</v>
      </c>
      <c r="H127">
        <v>89</v>
      </c>
      <c r="I127">
        <v>75.42</v>
      </c>
      <c r="J127" t="s">
        <v>76</v>
      </c>
      <c r="K127">
        <v>13</v>
      </c>
      <c r="L127">
        <v>1070</v>
      </c>
      <c r="M127">
        <v>900003</v>
      </c>
    </row>
    <row r="128" spans="1:13" x14ac:dyDescent="0.3">
      <c r="A128" s="1">
        <v>44268</v>
      </c>
      <c r="B128" t="s">
        <v>45</v>
      </c>
      <c r="C128" t="str">
        <f t="shared" si="4"/>
        <v>Oil</v>
      </c>
      <c r="G128">
        <v>4</v>
      </c>
      <c r="H128">
        <v>105</v>
      </c>
      <c r="I128">
        <v>88.98</v>
      </c>
      <c r="J128" t="s">
        <v>19</v>
      </c>
      <c r="K128">
        <v>14</v>
      </c>
      <c r="L128">
        <v>1070</v>
      </c>
      <c r="M128">
        <v>714401</v>
      </c>
    </row>
    <row r="129" spans="1:13" x14ac:dyDescent="0.3">
      <c r="A129" s="1">
        <v>44268</v>
      </c>
      <c r="B129" t="s">
        <v>44</v>
      </c>
      <c r="C129" t="str">
        <f t="shared" si="4"/>
        <v>Oil</v>
      </c>
      <c r="G129">
        <v>2</v>
      </c>
      <c r="H129">
        <v>55.5</v>
      </c>
      <c r="I129">
        <v>47.03</v>
      </c>
      <c r="J129" t="s">
        <v>19</v>
      </c>
      <c r="K129">
        <v>14</v>
      </c>
      <c r="L129">
        <v>1070</v>
      </c>
      <c r="M129">
        <v>714401</v>
      </c>
    </row>
    <row r="130" spans="1:13" x14ac:dyDescent="0.3">
      <c r="A130" s="1">
        <v>44270</v>
      </c>
      <c r="B130" t="s">
        <v>90</v>
      </c>
      <c r="C130" t="str">
        <f t="shared" si="4"/>
        <v>Oil</v>
      </c>
      <c r="G130">
        <v>8</v>
      </c>
      <c r="H130">
        <v>138</v>
      </c>
      <c r="I130">
        <v>116.95</v>
      </c>
      <c r="J130" t="s">
        <v>19</v>
      </c>
      <c r="K130">
        <v>14</v>
      </c>
      <c r="L130">
        <v>1070</v>
      </c>
      <c r="M130">
        <v>900003</v>
      </c>
    </row>
    <row r="131" spans="1:13" x14ac:dyDescent="0.3">
      <c r="A131" s="1">
        <v>44270</v>
      </c>
      <c r="B131" t="s">
        <v>91</v>
      </c>
      <c r="C131" t="str">
        <f t="shared" si="4"/>
        <v>Battery</v>
      </c>
      <c r="G131">
        <v>1</v>
      </c>
      <c r="H131">
        <v>313.64</v>
      </c>
      <c r="I131">
        <v>265.8</v>
      </c>
      <c r="J131" t="s">
        <v>71</v>
      </c>
      <c r="K131">
        <v>13</v>
      </c>
      <c r="L131">
        <v>1070</v>
      </c>
      <c r="M131">
        <v>900003</v>
      </c>
    </row>
    <row r="132" spans="1:13" x14ac:dyDescent="0.3">
      <c r="A132" s="1">
        <v>44270</v>
      </c>
      <c r="B132" t="s">
        <v>53</v>
      </c>
      <c r="C132" t="str">
        <f t="shared" si="4"/>
        <v>Oil</v>
      </c>
      <c r="G132">
        <v>7</v>
      </c>
      <c r="H132">
        <v>168</v>
      </c>
      <c r="I132">
        <v>142.37</v>
      </c>
      <c r="J132" t="s">
        <v>19</v>
      </c>
      <c r="K132">
        <v>14</v>
      </c>
      <c r="L132">
        <v>1070</v>
      </c>
      <c r="M132">
        <v>652368</v>
      </c>
    </row>
    <row r="133" spans="1:13" x14ac:dyDescent="0.3">
      <c r="A133" s="1">
        <v>44270</v>
      </c>
      <c r="B133" t="s">
        <v>30</v>
      </c>
      <c r="C133" t="str">
        <f t="shared" si="4"/>
        <v>Battery</v>
      </c>
      <c r="G133">
        <v>1</v>
      </c>
      <c r="H133">
        <v>651.20000000000005</v>
      </c>
      <c r="I133">
        <v>551.86</v>
      </c>
      <c r="J133" t="s">
        <v>15</v>
      </c>
      <c r="K133">
        <v>13</v>
      </c>
      <c r="L133">
        <v>1070</v>
      </c>
      <c r="M133">
        <v>900003</v>
      </c>
    </row>
    <row r="134" spans="1:13" x14ac:dyDescent="0.3">
      <c r="A134" s="1">
        <v>44270</v>
      </c>
      <c r="B134" t="s">
        <v>92</v>
      </c>
      <c r="C134" t="str">
        <f t="shared" si="4"/>
        <v>Tire</v>
      </c>
      <c r="D134" s="4"/>
      <c r="G134">
        <v>2</v>
      </c>
      <c r="H134">
        <v>304</v>
      </c>
      <c r="I134">
        <v>257.63</v>
      </c>
      <c r="J134" t="s">
        <v>39</v>
      </c>
      <c r="K134">
        <v>11</v>
      </c>
      <c r="L134">
        <v>1070</v>
      </c>
      <c r="M134">
        <v>206549</v>
      </c>
    </row>
    <row r="135" spans="1:13" x14ac:dyDescent="0.3">
      <c r="A135" s="1">
        <v>44270</v>
      </c>
      <c r="B135" t="s">
        <v>93</v>
      </c>
      <c r="C135" t="str">
        <f t="shared" si="4"/>
        <v>Tire</v>
      </c>
      <c r="D135" s="4"/>
      <c r="G135">
        <v>2</v>
      </c>
      <c r="H135">
        <v>387</v>
      </c>
      <c r="I135">
        <v>327.97</v>
      </c>
      <c r="J135" t="s">
        <v>41</v>
      </c>
      <c r="K135">
        <v>11</v>
      </c>
      <c r="L135">
        <v>1070</v>
      </c>
      <c r="M135">
        <v>697556</v>
      </c>
    </row>
    <row r="136" spans="1:13" x14ac:dyDescent="0.3">
      <c r="A136" s="1">
        <v>44270</v>
      </c>
      <c r="B136" t="s">
        <v>50</v>
      </c>
      <c r="C136" t="str">
        <f t="shared" si="4"/>
        <v>Oil</v>
      </c>
      <c r="G136">
        <v>5</v>
      </c>
      <c r="H136">
        <v>135</v>
      </c>
      <c r="I136">
        <v>114.41</v>
      </c>
      <c r="J136" t="s">
        <v>19</v>
      </c>
      <c r="K136">
        <v>14</v>
      </c>
      <c r="L136">
        <v>1070</v>
      </c>
      <c r="M136">
        <v>809381</v>
      </c>
    </row>
    <row r="137" spans="1:13" x14ac:dyDescent="0.3">
      <c r="A137" s="1">
        <v>44270</v>
      </c>
      <c r="B137" t="s">
        <v>45</v>
      </c>
      <c r="C137" t="str">
        <f t="shared" si="4"/>
        <v>Oil</v>
      </c>
      <c r="G137">
        <v>4</v>
      </c>
      <c r="H137">
        <v>105</v>
      </c>
      <c r="I137">
        <v>88.98</v>
      </c>
      <c r="J137" t="s">
        <v>19</v>
      </c>
      <c r="K137">
        <v>14</v>
      </c>
      <c r="L137">
        <v>1070</v>
      </c>
      <c r="M137">
        <v>900003</v>
      </c>
    </row>
    <row r="138" spans="1:13" x14ac:dyDescent="0.3">
      <c r="A138" s="1">
        <v>44270</v>
      </c>
      <c r="B138" t="s">
        <v>30</v>
      </c>
      <c r="C138" t="str">
        <f t="shared" si="4"/>
        <v>Battery</v>
      </c>
      <c r="G138">
        <v>1</v>
      </c>
      <c r="H138">
        <v>651.20000000000005</v>
      </c>
      <c r="I138">
        <v>551.86</v>
      </c>
      <c r="J138" t="s">
        <v>15</v>
      </c>
      <c r="K138">
        <v>13</v>
      </c>
      <c r="L138">
        <v>1070</v>
      </c>
      <c r="M138">
        <v>900003</v>
      </c>
    </row>
    <row r="139" spans="1:13" x14ac:dyDescent="0.3">
      <c r="A139" s="1">
        <v>44270</v>
      </c>
      <c r="B139" t="s">
        <v>34</v>
      </c>
      <c r="C139" t="str">
        <f t="shared" si="4"/>
        <v>Battery</v>
      </c>
      <c r="G139">
        <v>1</v>
      </c>
      <c r="H139">
        <v>175.2</v>
      </c>
      <c r="I139">
        <v>148.47</v>
      </c>
      <c r="J139" t="s">
        <v>15</v>
      </c>
      <c r="K139">
        <v>13</v>
      </c>
      <c r="L139">
        <v>1070</v>
      </c>
      <c r="M139">
        <v>900003</v>
      </c>
    </row>
    <row r="140" spans="1:13" x14ac:dyDescent="0.3">
      <c r="A140" s="1">
        <v>44270</v>
      </c>
      <c r="B140" t="s">
        <v>60</v>
      </c>
      <c r="C140" t="str">
        <f t="shared" si="4"/>
        <v>Battery</v>
      </c>
      <c r="G140">
        <v>1</v>
      </c>
      <c r="H140">
        <v>152.15</v>
      </c>
      <c r="I140">
        <v>128.94</v>
      </c>
      <c r="J140" t="s">
        <v>59</v>
      </c>
      <c r="K140">
        <v>13</v>
      </c>
      <c r="L140">
        <v>1070</v>
      </c>
      <c r="M140">
        <v>666189</v>
      </c>
    </row>
    <row r="141" spans="1:13" x14ac:dyDescent="0.3">
      <c r="A141" s="1">
        <v>44271</v>
      </c>
      <c r="B141" t="s">
        <v>94</v>
      </c>
      <c r="C141" t="str">
        <f t="shared" si="4"/>
        <v>Battery</v>
      </c>
      <c r="G141">
        <v>1</v>
      </c>
      <c r="H141">
        <v>207.4</v>
      </c>
      <c r="I141">
        <v>175.76</v>
      </c>
      <c r="J141" t="s">
        <v>95</v>
      </c>
      <c r="K141">
        <v>13</v>
      </c>
      <c r="L141">
        <v>1070</v>
      </c>
      <c r="M141">
        <v>257036</v>
      </c>
    </row>
    <row r="142" spans="1:13" x14ac:dyDescent="0.3">
      <c r="A142" s="1">
        <v>44271</v>
      </c>
      <c r="B142" t="s">
        <v>96</v>
      </c>
      <c r="C142" t="str">
        <f t="shared" si="4"/>
        <v>Oil</v>
      </c>
      <c r="G142">
        <v>4</v>
      </c>
      <c r="H142">
        <v>108</v>
      </c>
      <c r="I142">
        <v>91.53</v>
      </c>
      <c r="J142" t="s">
        <v>19</v>
      </c>
      <c r="K142">
        <v>14</v>
      </c>
      <c r="L142">
        <v>1070</v>
      </c>
      <c r="M142">
        <v>709531</v>
      </c>
    </row>
    <row r="143" spans="1:13" x14ac:dyDescent="0.3">
      <c r="A143" s="1">
        <v>44271</v>
      </c>
      <c r="B143" t="s">
        <v>48</v>
      </c>
      <c r="C143" t="str">
        <f t="shared" si="4"/>
        <v>Battery</v>
      </c>
      <c r="G143">
        <v>1</v>
      </c>
      <c r="H143">
        <v>259.2</v>
      </c>
      <c r="I143">
        <v>219.66</v>
      </c>
      <c r="J143" t="s">
        <v>15</v>
      </c>
      <c r="K143">
        <v>13</v>
      </c>
      <c r="L143">
        <v>1070</v>
      </c>
      <c r="M143">
        <v>900003</v>
      </c>
    </row>
    <row r="144" spans="1:13" x14ac:dyDescent="0.3">
      <c r="A144" s="1">
        <v>44271</v>
      </c>
      <c r="B144" t="s">
        <v>90</v>
      </c>
      <c r="C144" t="str">
        <f t="shared" si="4"/>
        <v>Oil</v>
      </c>
      <c r="G144">
        <v>8</v>
      </c>
      <c r="H144">
        <v>138</v>
      </c>
      <c r="I144">
        <v>116.95</v>
      </c>
      <c r="J144" t="s">
        <v>19</v>
      </c>
      <c r="K144">
        <v>14</v>
      </c>
      <c r="L144">
        <v>1070</v>
      </c>
      <c r="M144">
        <v>900003</v>
      </c>
    </row>
    <row r="145" spans="1:13" x14ac:dyDescent="0.3">
      <c r="A145" s="1">
        <v>44271</v>
      </c>
      <c r="B145" t="s">
        <v>44</v>
      </c>
      <c r="C145" t="str">
        <f t="shared" si="4"/>
        <v>Oil</v>
      </c>
      <c r="G145">
        <v>1</v>
      </c>
      <c r="H145">
        <v>27.75</v>
      </c>
      <c r="I145">
        <v>23.52</v>
      </c>
      <c r="J145" t="s">
        <v>19</v>
      </c>
      <c r="K145">
        <v>14</v>
      </c>
      <c r="L145">
        <v>1070</v>
      </c>
      <c r="M145">
        <v>608103</v>
      </c>
    </row>
    <row r="146" spans="1:13" x14ac:dyDescent="0.3">
      <c r="A146" s="1">
        <v>44271</v>
      </c>
      <c r="B146" t="s">
        <v>97</v>
      </c>
      <c r="C146" t="str">
        <f t="shared" si="4"/>
        <v>Oil</v>
      </c>
      <c r="G146">
        <v>4</v>
      </c>
      <c r="H146">
        <v>75</v>
      </c>
      <c r="I146">
        <v>63.56</v>
      </c>
      <c r="J146" t="s">
        <v>27</v>
      </c>
      <c r="K146">
        <v>14</v>
      </c>
      <c r="L146">
        <v>1070</v>
      </c>
      <c r="M146">
        <v>614458</v>
      </c>
    </row>
    <row r="147" spans="1:13" x14ac:dyDescent="0.3">
      <c r="A147" s="1">
        <v>44271</v>
      </c>
      <c r="B147" t="s">
        <v>98</v>
      </c>
      <c r="C147" t="str">
        <f t="shared" si="4"/>
        <v>Oil</v>
      </c>
      <c r="G147">
        <v>3</v>
      </c>
      <c r="H147">
        <v>97.19</v>
      </c>
      <c r="I147">
        <v>82.37</v>
      </c>
      <c r="J147" t="s">
        <v>25</v>
      </c>
      <c r="K147">
        <v>14</v>
      </c>
      <c r="L147">
        <v>1070</v>
      </c>
      <c r="M147">
        <v>792056</v>
      </c>
    </row>
    <row r="148" spans="1:13" x14ac:dyDescent="0.3">
      <c r="A148" s="1">
        <v>44271</v>
      </c>
      <c r="B148" t="s">
        <v>52</v>
      </c>
      <c r="C148" t="str">
        <f t="shared" si="4"/>
        <v>Battery</v>
      </c>
      <c r="G148">
        <v>1</v>
      </c>
      <c r="H148">
        <v>299.2</v>
      </c>
      <c r="I148">
        <v>253.56</v>
      </c>
      <c r="J148" t="s">
        <v>15</v>
      </c>
      <c r="K148">
        <v>13</v>
      </c>
      <c r="L148">
        <v>1070</v>
      </c>
      <c r="M148">
        <v>805576</v>
      </c>
    </row>
    <row r="149" spans="1:13" x14ac:dyDescent="0.3">
      <c r="A149" s="1">
        <v>44271</v>
      </c>
      <c r="B149" t="s">
        <v>99</v>
      </c>
      <c r="C149" t="str">
        <f t="shared" si="4"/>
        <v>Oil</v>
      </c>
      <c r="G149">
        <v>4</v>
      </c>
      <c r="H149">
        <v>81</v>
      </c>
      <c r="I149">
        <v>68.64</v>
      </c>
      <c r="J149" t="s">
        <v>19</v>
      </c>
      <c r="K149">
        <v>14</v>
      </c>
      <c r="L149">
        <v>1070</v>
      </c>
      <c r="M149">
        <v>900003</v>
      </c>
    </row>
    <row r="150" spans="1:13" x14ac:dyDescent="0.3">
      <c r="A150" s="1">
        <v>44271</v>
      </c>
      <c r="B150" t="s">
        <v>99</v>
      </c>
      <c r="C150" t="str">
        <f t="shared" si="4"/>
        <v>Oil</v>
      </c>
      <c r="G150">
        <v>4</v>
      </c>
      <c r="H150">
        <v>81</v>
      </c>
      <c r="I150">
        <v>68.64</v>
      </c>
      <c r="J150" t="s">
        <v>19</v>
      </c>
      <c r="K150">
        <v>14</v>
      </c>
      <c r="L150">
        <v>1070</v>
      </c>
      <c r="M150">
        <v>900003</v>
      </c>
    </row>
    <row r="151" spans="1:13" x14ac:dyDescent="0.3">
      <c r="A151" s="6">
        <v>44271</v>
      </c>
      <c r="B151" s="7" t="s">
        <v>205</v>
      </c>
      <c r="C151" t="s">
        <v>178</v>
      </c>
      <c r="G151" s="8">
        <v>4</v>
      </c>
      <c r="H151" s="9">
        <v>1005</v>
      </c>
      <c r="I151" s="9">
        <v>851.69</v>
      </c>
      <c r="J151" s="7" t="s">
        <v>189</v>
      </c>
      <c r="K151">
        <v>11</v>
      </c>
      <c r="L151">
        <v>1070</v>
      </c>
      <c r="M151" s="7" t="s">
        <v>203</v>
      </c>
    </row>
    <row r="152" spans="1:13" x14ac:dyDescent="0.3">
      <c r="A152" s="1">
        <v>44272</v>
      </c>
      <c r="B152" t="s">
        <v>100</v>
      </c>
      <c r="C152" t="str">
        <f t="shared" si="4"/>
        <v>Battery</v>
      </c>
      <c r="G152">
        <v>1</v>
      </c>
      <c r="H152">
        <v>239</v>
      </c>
      <c r="I152">
        <v>202.54</v>
      </c>
      <c r="J152" t="s">
        <v>76</v>
      </c>
      <c r="K152">
        <v>13</v>
      </c>
      <c r="L152">
        <v>1070</v>
      </c>
      <c r="M152">
        <v>900003</v>
      </c>
    </row>
    <row r="153" spans="1:13" x14ac:dyDescent="0.3">
      <c r="A153" s="1">
        <v>44272</v>
      </c>
      <c r="B153" t="s">
        <v>22</v>
      </c>
      <c r="C153" t="str">
        <f t="shared" si="4"/>
        <v>Battery</v>
      </c>
      <c r="G153">
        <v>1</v>
      </c>
      <c r="H153">
        <v>203.2</v>
      </c>
      <c r="I153">
        <v>172.2</v>
      </c>
      <c r="J153" t="s">
        <v>15</v>
      </c>
      <c r="K153">
        <v>13</v>
      </c>
      <c r="L153">
        <v>1070</v>
      </c>
      <c r="M153">
        <v>660747</v>
      </c>
    </row>
    <row r="154" spans="1:13" x14ac:dyDescent="0.3">
      <c r="A154" s="1">
        <v>44272</v>
      </c>
      <c r="B154" t="s">
        <v>101</v>
      </c>
      <c r="C154" t="str">
        <f t="shared" si="4"/>
        <v>Tire</v>
      </c>
      <c r="D154" s="4"/>
      <c r="G154">
        <v>4</v>
      </c>
      <c r="H154">
        <v>432</v>
      </c>
      <c r="I154">
        <v>366.1</v>
      </c>
      <c r="J154" t="s">
        <v>102</v>
      </c>
      <c r="K154">
        <v>11</v>
      </c>
      <c r="L154">
        <v>1070</v>
      </c>
      <c r="M154">
        <v>752298</v>
      </c>
    </row>
    <row r="155" spans="1:13" x14ac:dyDescent="0.3">
      <c r="A155" s="1">
        <v>44273</v>
      </c>
      <c r="B155" t="s">
        <v>103</v>
      </c>
      <c r="C155" t="str">
        <f t="shared" si="4"/>
        <v>Tire</v>
      </c>
      <c r="D155" s="4"/>
      <c r="G155">
        <v>4</v>
      </c>
      <c r="H155">
        <v>666</v>
      </c>
      <c r="I155">
        <v>564.41</v>
      </c>
      <c r="J155" t="s">
        <v>33</v>
      </c>
      <c r="K155">
        <v>11</v>
      </c>
      <c r="L155">
        <v>1070</v>
      </c>
      <c r="M155">
        <v>842716</v>
      </c>
    </row>
    <row r="156" spans="1:13" x14ac:dyDescent="0.3">
      <c r="A156" s="1">
        <v>44273</v>
      </c>
      <c r="B156" t="s">
        <v>30</v>
      </c>
      <c r="C156" t="str">
        <f t="shared" si="4"/>
        <v>Battery</v>
      </c>
      <c r="G156">
        <v>1</v>
      </c>
      <c r="H156">
        <v>651.20000000000005</v>
      </c>
      <c r="I156">
        <v>551.86</v>
      </c>
      <c r="J156" t="s">
        <v>15</v>
      </c>
      <c r="K156">
        <v>13</v>
      </c>
      <c r="L156">
        <v>1070</v>
      </c>
      <c r="M156">
        <v>231588</v>
      </c>
    </row>
    <row r="157" spans="1:13" x14ac:dyDescent="0.3">
      <c r="A157" s="1">
        <v>44273</v>
      </c>
      <c r="B157" t="s">
        <v>104</v>
      </c>
      <c r="C157" t="str">
        <f t="shared" si="4"/>
        <v>Tire</v>
      </c>
      <c r="D157" s="4"/>
      <c r="G157">
        <v>4</v>
      </c>
      <c r="H157" s="2">
        <v>1312</v>
      </c>
      <c r="I157" s="2">
        <v>1111.8599999999999</v>
      </c>
      <c r="J157" t="s">
        <v>39</v>
      </c>
      <c r="K157">
        <v>11</v>
      </c>
      <c r="L157">
        <v>1070</v>
      </c>
      <c r="M157">
        <v>900003</v>
      </c>
    </row>
    <row r="158" spans="1:13" x14ac:dyDescent="0.3">
      <c r="A158" s="1">
        <v>44273</v>
      </c>
      <c r="B158" t="s">
        <v>105</v>
      </c>
      <c r="C158" t="str">
        <f t="shared" si="4"/>
        <v>Tire</v>
      </c>
      <c r="D158" s="4"/>
      <c r="G158">
        <v>4</v>
      </c>
      <c r="H158">
        <v>992</v>
      </c>
      <c r="I158">
        <v>840.68</v>
      </c>
      <c r="J158" t="s">
        <v>39</v>
      </c>
      <c r="K158">
        <v>11</v>
      </c>
      <c r="L158">
        <v>1070</v>
      </c>
      <c r="M158">
        <v>900003</v>
      </c>
    </row>
    <row r="159" spans="1:13" x14ac:dyDescent="0.3">
      <c r="A159" s="1">
        <v>44273</v>
      </c>
      <c r="B159" t="s">
        <v>37</v>
      </c>
      <c r="C159" t="str">
        <f t="shared" si="4"/>
        <v>Battery</v>
      </c>
      <c r="G159">
        <v>1</v>
      </c>
      <c r="H159">
        <v>403.2</v>
      </c>
      <c r="I159">
        <v>341.69</v>
      </c>
      <c r="J159" t="s">
        <v>15</v>
      </c>
      <c r="K159">
        <v>13</v>
      </c>
      <c r="L159">
        <v>1070</v>
      </c>
      <c r="M159">
        <v>657091</v>
      </c>
    </row>
    <row r="160" spans="1:13" x14ac:dyDescent="0.3">
      <c r="A160" s="1">
        <v>44273</v>
      </c>
      <c r="B160" t="s">
        <v>30</v>
      </c>
      <c r="C160" t="str">
        <f t="shared" si="4"/>
        <v>Battery</v>
      </c>
      <c r="G160">
        <v>1</v>
      </c>
      <c r="H160">
        <v>651.20000000000005</v>
      </c>
      <c r="I160">
        <v>551.86</v>
      </c>
      <c r="J160" t="s">
        <v>15</v>
      </c>
      <c r="K160">
        <v>13</v>
      </c>
      <c r="L160">
        <v>1070</v>
      </c>
      <c r="M160">
        <v>900003</v>
      </c>
    </row>
    <row r="161" spans="1:13" x14ac:dyDescent="0.3">
      <c r="A161" s="6">
        <v>44273</v>
      </c>
      <c r="B161" s="7" t="s">
        <v>108</v>
      </c>
      <c r="C161" t="s">
        <v>178</v>
      </c>
      <c r="G161" s="8">
        <v>4</v>
      </c>
      <c r="H161" s="9">
        <v>800</v>
      </c>
      <c r="I161" s="9">
        <v>677.97</v>
      </c>
      <c r="K161">
        <v>11</v>
      </c>
      <c r="L161">
        <v>1070</v>
      </c>
      <c r="M161">
        <v>900003</v>
      </c>
    </row>
    <row r="162" spans="1:13" x14ac:dyDescent="0.3">
      <c r="A162" s="1">
        <v>44274</v>
      </c>
      <c r="B162" t="s">
        <v>31</v>
      </c>
      <c r="C162" t="str">
        <f t="shared" si="4"/>
        <v>Battery</v>
      </c>
      <c r="G162">
        <v>1</v>
      </c>
      <c r="H162">
        <v>175.2</v>
      </c>
      <c r="I162">
        <v>148.47</v>
      </c>
      <c r="J162" t="s">
        <v>15</v>
      </c>
      <c r="K162">
        <v>13</v>
      </c>
      <c r="L162">
        <v>1070</v>
      </c>
      <c r="M162">
        <v>900003</v>
      </c>
    </row>
    <row r="163" spans="1:13" x14ac:dyDescent="0.3">
      <c r="A163" s="1">
        <v>44274</v>
      </c>
      <c r="B163" t="s">
        <v>109</v>
      </c>
      <c r="C163" t="str">
        <f t="shared" si="4"/>
        <v>Tire</v>
      </c>
      <c r="D163" s="4"/>
      <c r="G163">
        <v>4</v>
      </c>
      <c r="H163" s="2">
        <v>1376</v>
      </c>
      <c r="I163" s="2">
        <v>1166.0999999999999</v>
      </c>
      <c r="J163" t="s">
        <v>39</v>
      </c>
      <c r="K163">
        <v>11</v>
      </c>
      <c r="L163">
        <v>1070</v>
      </c>
      <c r="M163">
        <v>900003</v>
      </c>
    </row>
    <row r="164" spans="1:13" x14ac:dyDescent="0.3">
      <c r="A164" s="1">
        <v>44274</v>
      </c>
      <c r="B164" t="s">
        <v>110</v>
      </c>
      <c r="C164" t="str">
        <f t="shared" si="4"/>
        <v>Oil</v>
      </c>
      <c r="G164">
        <v>1</v>
      </c>
      <c r="H164">
        <v>22.5</v>
      </c>
      <c r="I164">
        <v>19.07</v>
      </c>
      <c r="J164" t="s">
        <v>27</v>
      </c>
      <c r="K164">
        <v>14</v>
      </c>
      <c r="L164">
        <v>1070</v>
      </c>
      <c r="M164">
        <v>224017</v>
      </c>
    </row>
    <row r="165" spans="1:13" x14ac:dyDescent="0.3">
      <c r="A165" s="1">
        <v>44274</v>
      </c>
      <c r="B165" t="s">
        <v>22</v>
      </c>
      <c r="C165" t="str">
        <f t="shared" si="4"/>
        <v>Battery</v>
      </c>
      <c r="G165">
        <v>1</v>
      </c>
      <c r="H165">
        <v>203.2</v>
      </c>
      <c r="I165">
        <v>172.2</v>
      </c>
      <c r="J165" t="s">
        <v>15</v>
      </c>
      <c r="K165">
        <v>13</v>
      </c>
      <c r="L165">
        <v>1070</v>
      </c>
      <c r="M165">
        <v>900003</v>
      </c>
    </row>
    <row r="166" spans="1:13" x14ac:dyDescent="0.3">
      <c r="A166" s="1">
        <v>44274</v>
      </c>
      <c r="B166" t="s">
        <v>111</v>
      </c>
      <c r="C166" t="s">
        <v>178</v>
      </c>
      <c r="D166" s="4"/>
      <c r="G166">
        <v>4</v>
      </c>
      <c r="H166" s="2">
        <v>1152</v>
      </c>
      <c r="I166">
        <v>976.27</v>
      </c>
      <c r="J166" t="s">
        <v>39</v>
      </c>
      <c r="K166">
        <v>11</v>
      </c>
      <c r="L166">
        <v>1070</v>
      </c>
      <c r="M166">
        <v>275665</v>
      </c>
    </row>
    <row r="167" spans="1:13" x14ac:dyDescent="0.3">
      <c r="A167" s="1">
        <v>44274</v>
      </c>
      <c r="B167" t="s">
        <v>112</v>
      </c>
      <c r="C167" t="str">
        <f>IF(LEFT($B167,FIND(" ",$B167)-1)=$D$2,"Oil",IF(LEFT($B167,FIND(" ",$B167)-1)=$D$3,"Battery", IF(LEFT($B167, FIND(" ", $B167)-1) = $D$4, "Tire", " "      )                   ))</f>
        <v>Oil</v>
      </c>
      <c r="G167">
        <v>4</v>
      </c>
      <c r="H167">
        <v>95</v>
      </c>
      <c r="I167">
        <v>80.510000000000005</v>
      </c>
      <c r="J167" t="s">
        <v>113</v>
      </c>
      <c r="K167">
        <v>14</v>
      </c>
      <c r="L167">
        <v>1070</v>
      </c>
      <c r="M167">
        <v>678013</v>
      </c>
    </row>
    <row r="168" spans="1:13" x14ac:dyDescent="0.3">
      <c r="A168" s="1">
        <v>44274</v>
      </c>
      <c r="B168" t="s">
        <v>108</v>
      </c>
      <c r="C168" t="s">
        <v>178</v>
      </c>
      <c r="D168" s="4"/>
      <c r="G168">
        <v>4</v>
      </c>
      <c r="H168">
        <v>800</v>
      </c>
      <c r="I168">
        <v>677.97</v>
      </c>
      <c r="J168" t="s">
        <v>39</v>
      </c>
      <c r="K168">
        <v>11</v>
      </c>
      <c r="L168">
        <v>1070</v>
      </c>
      <c r="M168">
        <v>771857</v>
      </c>
    </row>
    <row r="169" spans="1:13" x14ac:dyDescent="0.3">
      <c r="A169" s="1">
        <v>44274</v>
      </c>
      <c r="B169" t="s">
        <v>114</v>
      </c>
      <c r="C169" t="str">
        <f>IF(LEFT($B169,FIND(" ",$B169)-1)=$D$2,"Oil",IF(LEFT($B169,FIND(" ",$B169)-1)=$D$3,"Battery", IF(LEFT($B169, FIND(" ", $B169)-1) = $D$4, "Tire", " "      )                   ))</f>
        <v>Tire</v>
      </c>
      <c r="D169" s="4"/>
      <c r="G169">
        <v>4</v>
      </c>
      <c r="H169">
        <v>560</v>
      </c>
      <c r="I169">
        <v>474.58</v>
      </c>
      <c r="J169" t="s">
        <v>39</v>
      </c>
      <c r="K169">
        <v>11</v>
      </c>
      <c r="L169">
        <v>1070</v>
      </c>
      <c r="M169">
        <v>332676</v>
      </c>
    </row>
    <row r="170" spans="1:13" x14ac:dyDescent="0.3">
      <c r="A170" s="1">
        <v>44274</v>
      </c>
      <c r="B170" t="s">
        <v>22</v>
      </c>
      <c r="C170" t="str">
        <f>IF(LEFT($B170,FIND(" ",$B170)-1)=$D$2,"Oil",IF(LEFT($B170,FIND(" ",$B170)-1)=$D$3,"Battery", IF(LEFT($B170, FIND(" ", $B170)-1) = $D$4, "Tire", " "      )                   ))</f>
        <v>Battery</v>
      </c>
      <c r="G170">
        <v>1</v>
      </c>
      <c r="H170">
        <v>203.2</v>
      </c>
      <c r="I170">
        <v>172.2</v>
      </c>
      <c r="J170" t="s">
        <v>15</v>
      </c>
      <c r="K170">
        <v>13</v>
      </c>
      <c r="L170">
        <v>1070</v>
      </c>
      <c r="M170">
        <v>900003</v>
      </c>
    </row>
    <row r="171" spans="1:13" x14ac:dyDescent="0.3">
      <c r="A171" s="1">
        <v>44274</v>
      </c>
      <c r="B171" t="s">
        <v>106</v>
      </c>
      <c r="C171" t="s">
        <v>178</v>
      </c>
      <c r="D171" s="4"/>
      <c r="G171">
        <v>1</v>
      </c>
      <c r="H171">
        <v>200</v>
      </c>
      <c r="I171">
        <v>169.49</v>
      </c>
      <c r="J171" t="s">
        <v>107</v>
      </c>
      <c r="K171">
        <v>11</v>
      </c>
      <c r="L171">
        <v>1070</v>
      </c>
      <c r="M171">
        <v>900003</v>
      </c>
    </row>
    <row r="172" spans="1:13" x14ac:dyDescent="0.3">
      <c r="A172" s="1">
        <v>44274</v>
      </c>
      <c r="B172" t="s">
        <v>108</v>
      </c>
      <c r="C172" t="s">
        <v>178</v>
      </c>
      <c r="D172" s="4"/>
      <c r="G172">
        <v>4</v>
      </c>
      <c r="H172">
        <v>800</v>
      </c>
      <c r="I172">
        <v>677.97</v>
      </c>
      <c r="J172" t="s">
        <v>39</v>
      </c>
      <c r="K172">
        <v>11</v>
      </c>
      <c r="L172">
        <v>1070</v>
      </c>
      <c r="M172">
        <v>900003</v>
      </c>
    </row>
    <row r="173" spans="1:13" x14ac:dyDescent="0.3">
      <c r="A173" s="1">
        <v>44274</v>
      </c>
      <c r="B173" t="s">
        <v>115</v>
      </c>
      <c r="C173" t="str">
        <f>IF(LEFT($B173,FIND(" ",$B173)-1)=$D$2,"Oil",IF(LEFT($B173,FIND(" ",$B173)-1)=$D$3,"Battery", IF(LEFT($B173, FIND(" ", $B173)-1) = $D$4, "Tire", " "      )                   ))</f>
        <v>Tire</v>
      </c>
      <c r="D173" s="4"/>
      <c r="G173">
        <v>2</v>
      </c>
      <c r="H173">
        <v>378</v>
      </c>
      <c r="I173">
        <v>320.33999999999997</v>
      </c>
      <c r="J173" t="s">
        <v>102</v>
      </c>
      <c r="K173">
        <v>11</v>
      </c>
      <c r="L173">
        <v>1070</v>
      </c>
      <c r="M173">
        <v>900003</v>
      </c>
    </row>
    <row r="174" spans="1:13" x14ac:dyDescent="0.3">
      <c r="A174" s="1">
        <v>44274</v>
      </c>
      <c r="B174" t="s">
        <v>106</v>
      </c>
      <c r="C174" t="s">
        <v>178</v>
      </c>
      <c r="D174" s="4"/>
      <c r="G174">
        <v>4</v>
      </c>
      <c r="H174">
        <v>800</v>
      </c>
      <c r="I174">
        <v>677.97</v>
      </c>
      <c r="J174" t="s">
        <v>107</v>
      </c>
      <c r="K174">
        <v>11</v>
      </c>
      <c r="L174">
        <v>1070</v>
      </c>
      <c r="M174">
        <v>900003</v>
      </c>
    </row>
    <row r="175" spans="1:13" x14ac:dyDescent="0.3">
      <c r="A175" s="1">
        <v>44274</v>
      </c>
      <c r="B175" t="s">
        <v>116</v>
      </c>
      <c r="C175" t="str">
        <f t="shared" ref="C175:C193" si="5">IF(LEFT($B175,FIND(" ",$B175)-1)=$D$2,"Oil",IF(LEFT($B175,FIND(" ",$B175)-1)=$D$3,"Battery", IF(LEFT($B175, FIND(" ", $B175)-1) = $D$4, "Tire", " "      )                   ))</f>
        <v>Tire</v>
      </c>
      <c r="D175" s="4"/>
      <c r="G175">
        <v>1</v>
      </c>
      <c r="H175">
        <v>127.5</v>
      </c>
      <c r="I175">
        <v>108.05</v>
      </c>
      <c r="J175" t="s">
        <v>41</v>
      </c>
      <c r="K175">
        <v>11</v>
      </c>
      <c r="L175">
        <v>1070</v>
      </c>
      <c r="M175">
        <v>254308</v>
      </c>
    </row>
    <row r="176" spans="1:13" x14ac:dyDescent="0.3">
      <c r="A176" s="1">
        <v>44274</v>
      </c>
      <c r="B176" t="s">
        <v>117</v>
      </c>
      <c r="C176" t="str">
        <f t="shared" si="5"/>
        <v>Tire</v>
      </c>
      <c r="D176" s="4"/>
      <c r="G176">
        <v>4</v>
      </c>
      <c r="H176">
        <v>608</v>
      </c>
      <c r="I176">
        <v>515.25</v>
      </c>
      <c r="J176" t="s">
        <v>39</v>
      </c>
      <c r="K176">
        <v>11</v>
      </c>
      <c r="L176">
        <v>1070</v>
      </c>
      <c r="M176">
        <v>823221</v>
      </c>
    </row>
    <row r="177" spans="1:13" x14ac:dyDescent="0.3">
      <c r="A177" s="6">
        <v>44274</v>
      </c>
      <c r="B177" s="7" t="s">
        <v>106</v>
      </c>
      <c r="C177" t="str">
        <f>IF(LEFT($B177,FIND(" ",$B177)-1)="საბ.","Tire")</f>
        <v>Tire</v>
      </c>
      <c r="D177" s="4"/>
      <c r="G177" s="8">
        <v>4</v>
      </c>
      <c r="H177" s="9">
        <v>800</v>
      </c>
      <c r="I177" s="9">
        <v>677.97</v>
      </c>
      <c r="J177" s="7" t="s">
        <v>107</v>
      </c>
      <c r="K177">
        <v>11</v>
      </c>
      <c r="L177">
        <v>1070</v>
      </c>
      <c r="M177" s="7" t="s">
        <v>203</v>
      </c>
    </row>
    <row r="178" spans="1:13" x14ac:dyDescent="0.3">
      <c r="A178" s="6">
        <v>44274</v>
      </c>
      <c r="B178" s="7" t="s">
        <v>108</v>
      </c>
      <c r="C178" t="str">
        <f t="shared" ref="C178:C181" si="6">IF(LEFT($B178,FIND(" ",$B178)-1)="საბ.","Tire")</f>
        <v>Tire</v>
      </c>
      <c r="D178" s="4"/>
      <c r="G178" s="8">
        <v>4</v>
      </c>
      <c r="H178" s="9">
        <v>800</v>
      </c>
      <c r="I178" s="9">
        <v>677.97</v>
      </c>
      <c r="J178" s="7" t="s">
        <v>39</v>
      </c>
      <c r="K178">
        <v>11</v>
      </c>
      <c r="L178">
        <v>1070</v>
      </c>
      <c r="M178" s="7" t="s">
        <v>206</v>
      </c>
    </row>
    <row r="179" spans="1:13" x14ac:dyDescent="0.3">
      <c r="A179" s="6">
        <v>44274</v>
      </c>
      <c r="B179" s="7" t="s">
        <v>106</v>
      </c>
      <c r="C179" t="str">
        <f t="shared" si="6"/>
        <v>Tire</v>
      </c>
      <c r="D179" s="4"/>
      <c r="G179" s="8">
        <v>1</v>
      </c>
      <c r="H179" s="9">
        <v>200</v>
      </c>
      <c r="I179" s="9">
        <v>169.49</v>
      </c>
      <c r="J179" s="7" t="s">
        <v>107</v>
      </c>
      <c r="K179">
        <v>11</v>
      </c>
      <c r="L179">
        <v>1070</v>
      </c>
      <c r="M179" s="7" t="s">
        <v>203</v>
      </c>
    </row>
    <row r="180" spans="1:13" x14ac:dyDescent="0.3">
      <c r="A180" s="6">
        <v>44274</v>
      </c>
      <c r="B180" s="7" t="s">
        <v>108</v>
      </c>
      <c r="C180" t="str">
        <f t="shared" si="6"/>
        <v>Tire</v>
      </c>
      <c r="D180" s="4"/>
      <c r="G180" s="8">
        <v>4</v>
      </c>
      <c r="H180" s="9">
        <v>800</v>
      </c>
      <c r="I180" s="9">
        <v>677.97</v>
      </c>
      <c r="J180" s="7" t="s">
        <v>39</v>
      </c>
      <c r="K180">
        <v>11</v>
      </c>
      <c r="L180">
        <v>1070</v>
      </c>
      <c r="M180" s="7" t="s">
        <v>203</v>
      </c>
    </row>
    <row r="181" spans="1:13" x14ac:dyDescent="0.3">
      <c r="A181" s="6">
        <v>44274</v>
      </c>
      <c r="B181" s="7" t="s">
        <v>106</v>
      </c>
      <c r="C181" t="str">
        <f t="shared" si="6"/>
        <v>Tire</v>
      </c>
      <c r="D181" s="4"/>
      <c r="G181" s="8">
        <v>4</v>
      </c>
      <c r="H181" s="9">
        <v>800</v>
      </c>
      <c r="I181" s="9">
        <v>677.97</v>
      </c>
      <c r="J181" s="7" t="s">
        <v>107</v>
      </c>
      <c r="K181">
        <v>11</v>
      </c>
      <c r="L181">
        <v>1070</v>
      </c>
      <c r="M181" s="7" t="s">
        <v>203</v>
      </c>
    </row>
    <row r="182" spans="1:13" x14ac:dyDescent="0.3">
      <c r="A182" s="1">
        <v>44275</v>
      </c>
      <c r="B182" t="s">
        <v>100</v>
      </c>
      <c r="C182" t="str">
        <f t="shared" si="5"/>
        <v>Battery</v>
      </c>
      <c r="G182">
        <v>1</v>
      </c>
      <c r="H182">
        <v>239</v>
      </c>
      <c r="I182">
        <v>202.54</v>
      </c>
      <c r="J182" t="s">
        <v>76</v>
      </c>
      <c r="K182">
        <v>13</v>
      </c>
      <c r="L182">
        <v>1070</v>
      </c>
      <c r="M182">
        <v>794836</v>
      </c>
    </row>
    <row r="183" spans="1:13" x14ac:dyDescent="0.3">
      <c r="A183" s="1">
        <v>44275</v>
      </c>
      <c r="B183" t="s">
        <v>20</v>
      </c>
      <c r="C183" t="str">
        <f t="shared" si="5"/>
        <v>Oil</v>
      </c>
      <c r="G183">
        <v>4</v>
      </c>
      <c r="H183">
        <v>105</v>
      </c>
      <c r="I183">
        <v>88.98</v>
      </c>
      <c r="J183" t="s">
        <v>19</v>
      </c>
      <c r="K183">
        <v>14</v>
      </c>
      <c r="L183">
        <v>1070</v>
      </c>
      <c r="M183">
        <v>647786</v>
      </c>
    </row>
    <row r="184" spans="1:13" x14ac:dyDescent="0.3">
      <c r="A184" s="1">
        <v>44275</v>
      </c>
      <c r="B184" t="s">
        <v>44</v>
      </c>
      <c r="C184" t="str">
        <f t="shared" si="5"/>
        <v>Oil</v>
      </c>
      <c r="G184">
        <v>3</v>
      </c>
      <c r="H184">
        <v>83.25</v>
      </c>
      <c r="I184">
        <v>70.55</v>
      </c>
      <c r="J184" t="s">
        <v>19</v>
      </c>
      <c r="K184">
        <v>14</v>
      </c>
      <c r="L184">
        <v>1070</v>
      </c>
      <c r="M184">
        <v>900003</v>
      </c>
    </row>
    <row r="185" spans="1:13" x14ac:dyDescent="0.3">
      <c r="A185" s="1">
        <v>44275</v>
      </c>
      <c r="B185" t="s">
        <v>45</v>
      </c>
      <c r="C185" t="str">
        <f t="shared" si="5"/>
        <v>Oil</v>
      </c>
      <c r="G185">
        <v>4</v>
      </c>
      <c r="H185">
        <v>105</v>
      </c>
      <c r="I185">
        <v>88.98</v>
      </c>
      <c r="J185" t="s">
        <v>19</v>
      </c>
      <c r="K185">
        <v>14</v>
      </c>
      <c r="L185">
        <v>1070</v>
      </c>
      <c r="M185">
        <v>900003</v>
      </c>
    </row>
    <row r="186" spans="1:13" x14ac:dyDescent="0.3">
      <c r="A186" s="1">
        <v>44275</v>
      </c>
      <c r="B186" t="s">
        <v>78</v>
      </c>
      <c r="C186" t="str">
        <f t="shared" si="5"/>
        <v>Battery</v>
      </c>
      <c r="G186">
        <v>1</v>
      </c>
      <c r="H186">
        <v>219.2</v>
      </c>
      <c r="I186">
        <v>185.76</v>
      </c>
      <c r="J186" t="s">
        <v>15</v>
      </c>
      <c r="K186">
        <v>13</v>
      </c>
      <c r="L186">
        <v>1070</v>
      </c>
      <c r="M186">
        <v>604904</v>
      </c>
    </row>
    <row r="187" spans="1:13" x14ac:dyDescent="0.3">
      <c r="A187" s="1">
        <v>44275</v>
      </c>
      <c r="B187" t="s">
        <v>118</v>
      </c>
      <c r="C187" t="str">
        <f t="shared" si="5"/>
        <v>Oil</v>
      </c>
      <c r="G187">
        <v>2</v>
      </c>
      <c r="H187">
        <v>39</v>
      </c>
      <c r="I187">
        <v>33.049999999999997</v>
      </c>
      <c r="J187" t="s">
        <v>19</v>
      </c>
      <c r="K187">
        <v>14</v>
      </c>
      <c r="L187">
        <v>1070</v>
      </c>
      <c r="M187">
        <v>866438</v>
      </c>
    </row>
    <row r="188" spans="1:13" x14ac:dyDescent="0.3">
      <c r="A188" s="1">
        <v>44275</v>
      </c>
      <c r="B188" t="s">
        <v>43</v>
      </c>
      <c r="C188" t="str">
        <f t="shared" si="5"/>
        <v>Battery</v>
      </c>
      <c r="G188">
        <v>1</v>
      </c>
      <c r="H188">
        <v>155.19999999999999</v>
      </c>
      <c r="I188">
        <v>131.53</v>
      </c>
      <c r="J188" t="s">
        <v>15</v>
      </c>
      <c r="K188">
        <v>13</v>
      </c>
      <c r="L188">
        <v>1070</v>
      </c>
      <c r="M188">
        <v>900003</v>
      </c>
    </row>
    <row r="189" spans="1:13" x14ac:dyDescent="0.3">
      <c r="A189" s="1">
        <v>44275</v>
      </c>
      <c r="B189" t="s">
        <v>43</v>
      </c>
      <c r="C189" t="str">
        <f t="shared" si="5"/>
        <v>Battery</v>
      </c>
      <c r="G189">
        <v>1</v>
      </c>
      <c r="H189">
        <v>155.19999999999999</v>
      </c>
      <c r="I189">
        <v>131.53</v>
      </c>
      <c r="J189" t="s">
        <v>15</v>
      </c>
      <c r="K189">
        <v>13</v>
      </c>
      <c r="L189">
        <v>1070</v>
      </c>
      <c r="M189">
        <v>900003</v>
      </c>
    </row>
    <row r="190" spans="1:13" x14ac:dyDescent="0.3">
      <c r="A190" s="1">
        <v>44275</v>
      </c>
      <c r="B190" t="s">
        <v>119</v>
      </c>
      <c r="C190" t="str">
        <f t="shared" si="5"/>
        <v>Oil</v>
      </c>
      <c r="G190">
        <v>6</v>
      </c>
      <c r="H190">
        <v>94.5</v>
      </c>
      <c r="I190">
        <v>80.08</v>
      </c>
      <c r="J190" t="s">
        <v>19</v>
      </c>
      <c r="K190">
        <v>14</v>
      </c>
      <c r="L190">
        <v>1070</v>
      </c>
      <c r="M190">
        <v>900003</v>
      </c>
    </row>
    <row r="191" spans="1:13" x14ac:dyDescent="0.3">
      <c r="A191" s="1">
        <v>44275</v>
      </c>
      <c r="B191" t="s">
        <v>53</v>
      </c>
      <c r="C191" t="str">
        <f t="shared" si="5"/>
        <v>Oil</v>
      </c>
      <c r="G191">
        <v>7</v>
      </c>
      <c r="H191">
        <v>168</v>
      </c>
      <c r="I191">
        <v>142.37</v>
      </c>
      <c r="J191" t="s">
        <v>19</v>
      </c>
      <c r="K191">
        <v>14</v>
      </c>
      <c r="L191">
        <v>1070</v>
      </c>
      <c r="M191">
        <v>845673</v>
      </c>
    </row>
    <row r="192" spans="1:13" x14ac:dyDescent="0.3">
      <c r="A192" s="1">
        <v>44275</v>
      </c>
      <c r="B192" t="s">
        <v>119</v>
      </c>
      <c r="C192" t="str">
        <f t="shared" si="5"/>
        <v>Oil</v>
      </c>
      <c r="G192">
        <v>8</v>
      </c>
      <c r="H192">
        <v>126</v>
      </c>
      <c r="I192">
        <v>106.78</v>
      </c>
      <c r="J192" t="s">
        <v>19</v>
      </c>
      <c r="K192">
        <v>14</v>
      </c>
      <c r="L192">
        <v>1070</v>
      </c>
      <c r="M192">
        <v>900003</v>
      </c>
    </row>
    <row r="193" spans="1:13" x14ac:dyDescent="0.3">
      <c r="A193" s="1">
        <v>44275</v>
      </c>
      <c r="B193" t="s">
        <v>120</v>
      </c>
      <c r="C193" t="str">
        <f t="shared" si="5"/>
        <v>Oil</v>
      </c>
      <c r="G193">
        <v>4</v>
      </c>
      <c r="H193">
        <v>162</v>
      </c>
      <c r="I193">
        <v>137.29</v>
      </c>
      <c r="J193" t="s">
        <v>25</v>
      </c>
      <c r="K193">
        <v>14</v>
      </c>
      <c r="L193">
        <v>1070</v>
      </c>
      <c r="M193">
        <v>900003</v>
      </c>
    </row>
    <row r="194" spans="1:13" x14ac:dyDescent="0.3">
      <c r="A194" s="1">
        <v>44277</v>
      </c>
      <c r="B194" t="s">
        <v>108</v>
      </c>
      <c r="C194" t="s">
        <v>178</v>
      </c>
      <c r="D194" s="4"/>
      <c r="G194">
        <v>4</v>
      </c>
      <c r="H194">
        <v>800</v>
      </c>
      <c r="I194">
        <v>677.97</v>
      </c>
      <c r="J194" t="s">
        <v>39</v>
      </c>
      <c r="K194">
        <v>11</v>
      </c>
      <c r="L194">
        <v>1070</v>
      </c>
      <c r="M194">
        <v>644655</v>
      </c>
    </row>
    <row r="195" spans="1:13" x14ac:dyDescent="0.3">
      <c r="A195" s="1">
        <v>44277</v>
      </c>
      <c r="B195" t="s">
        <v>121</v>
      </c>
      <c r="C195" t="str">
        <f t="shared" ref="C195:C211" si="7">IF(LEFT($B195,FIND(" ",$B195)-1)=$D$2,"Oil",IF(LEFT($B195,FIND(" ",$B195)-1)=$D$3,"Battery", IF(LEFT($B195, FIND(" ", $B195)-1) = $D$4, "Tire", " "      )                   ))</f>
        <v>Battery</v>
      </c>
      <c r="G195">
        <v>1</v>
      </c>
      <c r="H195">
        <v>890.1</v>
      </c>
      <c r="I195">
        <v>754.32</v>
      </c>
      <c r="J195" t="s">
        <v>122</v>
      </c>
      <c r="K195">
        <v>13</v>
      </c>
      <c r="L195">
        <v>1070</v>
      </c>
      <c r="M195">
        <v>900003</v>
      </c>
    </row>
    <row r="196" spans="1:13" x14ac:dyDescent="0.3">
      <c r="A196" s="1">
        <v>44277</v>
      </c>
      <c r="B196" t="s">
        <v>123</v>
      </c>
      <c r="C196" t="str">
        <f t="shared" si="7"/>
        <v>Tire</v>
      </c>
      <c r="D196" s="4"/>
      <c r="G196">
        <v>2</v>
      </c>
      <c r="H196">
        <v>342</v>
      </c>
      <c r="I196">
        <v>289.83</v>
      </c>
      <c r="J196" t="s">
        <v>41</v>
      </c>
      <c r="K196">
        <v>11</v>
      </c>
      <c r="L196">
        <v>1070</v>
      </c>
      <c r="M196">
        <v>809957</v>
      </c>
    </row>
    <row r="197" spans="1:13" x14ac:dyDescent="0.3">
      <c r="A197" s="1">
        <v>44277</v>
      </c>
      <c r="B197" t="s">
        <v>124</v>
      </c>
      <c r="C197" t="str">
        <f t="shared" si="7"/>
        <v>Oil</v>
      </c>
      <c r="G197">
        <v>5</v>
      </c>
      <c r="H197">
        <v>101.25</v>
      </c>
      <c r="I197">
        <v>85.81</v>
      </c>
      <c r="J197" t="s">
        <v>27</v>
      </c>
      <c r="K197">
        <v>14</v>
      </c>
      <c r="L197">
        <v>1070</v>
      </c>
      <c r="M197">
        <v>850117</v>
      </c>
    </row>
    <row r="198" spans="1:13" x14ac:dyDescent="0.3">
      <c r="A198" s="1">
        <v>44277</v>
      </c>
      <c r="B198" t="s">
        <v>125</v>
      </c>
      <c r="C198" t="str">
        <f t="shared" si="7"/>
        <v>Oil</v>
      </c>
      <c r="G198">
        <v>3</v>
      </c>
      <c r="H198">
        <v>67.5</v>
      </c>
      <c r="I198">
        <v>57.2</v>
      </c>
      <c r="J198" t="s">
        <v>27</v>
      </c>
      <c r="K198">
        <v>14</v>
      </c>
      <c r="L198">
        <v>1070</v>
      </c>
      <c r="M198">
        <v>850117</v>
      </c>
    </row>
    <row r="199" spans="1:13" x14ac:dyDescent="0.3">
      <c r="A199" s="1">
        <v>44277</v>
      </c>
      <c r="B199" t="s">
        <v>126</v>
      </c>
      <c r="C199" t="str">
        <f t="shared" si="7"/>
        <v>Tire</v>
      </c>
      <c r="D199" s="4"/>
      <c r="G199">
        <v>2</v>
      </c>
      <c r="H199">
        <v>472</v>
      </c>
      <c r="I199">
        <v>400</v>
      </c>
      <c r="J199" t="s">
        <v>39</v>
      </c>
      <c r="K199">
        <v>11</v>
      </c>
      <c r="L199">
        <v>1070</v>
      </c>
      <c r="M199">
        <v>274750</v>
      </c>
    </row>
    <row r="200" spans="1:13" x14ac:dyDescent="0.3">
      <c r="A200" s="1">
        <v>44277</v>
      </c>
      <c r="B200" t="s">
        <v>127</v>
      </c>
      <c r="C200" t="str">
        <f t="shared" si="7"/>
        <v>Tire</v>
      </c>
      <c r="D200" s="4"/>
      <c r="G200">
        <v>4</v>
      </c>
      <c r="H200" s="2">
        <v>1408</v>
      </c>
      <c r="I200" s="2">
        <v>1193.22</v>
      </c>
      <c r="J200" t="s">
        <v>39</v>
      </c>
      <c r="K200">
        <v>11</v>
      </c>
      <c r="L200">
        <v>1070</v>
      </c>
      <c r="M200">
        <v>870777</v>
      </c>
    </row>
    <row r="201" spans="1:13" x14ac:dyDescent="0.3">
      <c r="A201" s="1">
        <v>44277</v>
      </c>
      <c r="B201" t="s">
        <v>44</v>
      </c>
      <c r="C201" t="str">
        <f t="shared" si="7"/>
        <v>Oil</v>
      </c>
      <c r="G201">
        <v>3</v>
      </c>
      <c r="H201">
        <v>83.25</v>
      </c>
      <c r="I201">
        <v>70.55</v>
      </c>
      <c r="J201" t="s">
        <v>19</v>
      </c>
      <c r="K201">
        <v>14</v>
      </c>
      <c r="L201">
        <v>1070</v>
      </c>
      <c r="M201">
        <v>718744</v>
      </c>
    </row>
    <row r="202" spans="1:13" x14ac:dyDescent="0.3">
      <c r="A202" s="1">
        <v>44277</v>
      </c>
      <c r="B202" t="s">
        <v>128</v>
      </c>
      <c r="C202" t="str">
        <f t="shared" si="7"/>
        <v>Tire</v>
      </c>
      <c r="D202" s="4"/>
      <c r="G202">
        <v>4</v>
      </c>
      <c r="H202">
        <v>800</v>
      </c>
      <c r="I202">
        <v>677.97</v>
      </c>
      <c r="J202" t="s">
        <v>39</v>
      </c>
      <c r="K202">
        <v>11</v>
      </c>
      <c r="L202">
        <v>1070</v>
      </c>
      <c r="M202">
        <v>787675</v>
      </c>
    </row>
    <row r="203" spans="1:13" x14ac:dyDescent="0.3">
      <c r="A203" s="1">
        <v>44277</v>
      </c>
      <c r="B203" t="s">
        <v>129</v>
      </c>
      <c r="C203" t="str">
        <f t="shared" si="7"/>
        <v>Tire</v>
      </c>
      <c r="D203" s="4"/>
      <c r="G203">
        <v>4</v>
      </c>
      <c r="H203">
        <v>675</v>
      </c>
      <c r="I203">
        <v>572.03</v>
      </c>
      <c r="J203" t="s">
        <v>130</v>
      </c>
      <c r="K203">
        <v>11</v>
      </c>
      <c r="L203">
        <v>1070</v>
      </c>
      <c r="M203">
        <v>279810</v>
      </c>
    </row>
    <row r="204" spans="1:13" x14ac:dyDescent="0.3">
      <c r="A204" s="1">
        <v>44277</v>
      </c>
      <c r="B204" t="s">
        <v>131</v>
      </c>
      <c r="C204" t="str">
        <f t="shared" si="7"/>
        <v>Oil</v>
      </c>
      <c r="G204">
        <v>3</v>
      </c>
      <c r="H204">
        <v>56.25</v>
      </c>
      <c r="I204">
        <v>47.67</v>
      </c>
      <c r="J204" t="s">
        <v>19</v>
      </c>
      <c r="K204">
        <v>14</v>
      </c>
      <c r="L204">
        <v>1070</v>
      </c>
      <c r="M204">
        <v>900003</v>
      </c>
    </row>
    <row r="205" spans="1:13" x14ac:dyDescent="0.3">
      <c r="A205" s="1">
        <v>44277</v>
      </c>
      <c r="B205" t="s">
        <v>132</v>
      </c>
      <c r="C205" t="str">
        <f t="shared" si="7"/>
        <v>Oil</v>
      </c>
      <c r="G205">
        <v>4</v>
      </c>
      <c r="H205">
        <v>69</v>
      </c>
      <c r="I205">
        <v>58.47</v>
      </c>
      <c r="J205" t="s">
        <v>19</v>
      </c>
      <c r="K205">
        <v>14</v>
      </c>
      <c r="L205">
        <v>1070</v>
      </c>
      <c r="M205">
        <v>900003</v>
      </c>
    </row>
    <row r="206" spans="1:13" x14ac:dyDescent="0.3">
      <c r="A206" s="6">
        <v>44277</v>
      </c>
      <c r="B206" s="7" t="s">
        <v>108</v>
      </c>
      <c r="C206" t="s">
        <v>178</v>
      </c>
      <c r="G206" s="8">
        <v>4</v>
      </c>
      <c r="H206" s="9">
        <v>800</v>
      </c>
      <c r="I206" s="9">
        <v>677.97</v>
      </c>
      <c r="J206" s="7" t="s">
        <v>39</v>
      </c>
      <c r="K206">
        <v>11</v>
      </c>
      <c r="L206">
        <v>1070</v>
      </c>
      <c r="M206" s="7" t="s">
        <v>207</v>
      </c>
    </row>
    <row r="207" spans="1:13" x14ac:dyDescent="0.3">
      <c r="A207" s="1">
        <v>44278</v>
      </c>
      <c r="B207" t="s">
        <v>22</v>
      </c>
      <c r="C207" t="str">
        <f t="shared" si="7"/>
        <v>Battery</v>
      </c>
      <c r="G207">
        <v>1</v>
      </c>
      <c r="H207">
        <v>203.2</v>
      </c>
      <c r="I207">
        <v>172.2</v>
      </c>
      <c r="J207" t="s">
        <v>15</v>
      </c>
      <c r="K207">
        <v>13</v>
      </c>
      <c r="L207">
        <v>1070</v>
      </c>
      <c r="M207">
        <v>900003</v>
      </c>
    </row>
    <row r="208" spans="1:13" x14ac:dyDescent="0.3">
      <c r="A208" s="1">
        <v>44278</v>
      </c>
      <c r="B208" t="s">
        <v>133</v>
      </c>
      <c r="C208" t="str">
        <f t="shared" si="7"/>
        <v>Battery</v>
      </c>
      <c r="G208">
        <v>1</v>
      </c>
      <c r="H208">
        <v>127.2</v>
      </c>
      <c r="I208">
        <v>107.8</v>
      </c>
      <c r="J208" t="s">
        <v>15</v>
      </c>
      <c r="K208">
        <v>13</v>
      </c>
      <c r="L208">
        <v>1070</v>
      </c>
      <c r="M208">
        <v>900003</v>
      </c>
    </row>
    <row r="209" spans="1:13" x14ac:dyDescent="0.3">
      <c r="A209" s="1">
        <v>44278</v>
      </c>
      <c r="B209" t="s">
        <v>134</v>
      </c>
      <c r="C209" t="str">
        <f t="shared" si="7"/>
        <v>Battery</v>
      </c>
      <c r="G209">
        <v>1</v>
      </c>
      <c r="H209">
        <v>119</v>
      </c>
      <c r="I209">
        <v>100.85</v>
      </c>
      <c r="J209" t="s">
        <v>76</v>
      </c>
      <c r="K209">
        <v>13</v>
      </c>
      <c r="L209">
        <v>1070</v>
      </c>
      <c r="M209">
        <v>900003</v>
      </c>
    </row>
    <row r="210" spans="1:13" x14ac:dyDescent="0.3">
      <c r="A210" s="1">
        <v>44278</v>
      </c>
      <c r="B210" t="s">
        <v>78</v>
      </c>
      <c r="C210" t="str">
        <f t="shared" si="7"/>
        <v>Battery</v>
      </c>
      <c r="G210">
        <v>1</v>
      </c>
      <c r="H210">
        <v>219.2</v>
      </c>
      <c r="I210">
        <v>185.76</v>
      </c>
      <c r="J210" t="s">
        <v>15</v>
      </c>
      <c r="K210">
        <v>13</v>
      </c>
      <c r="L210">
        <v>1070</v>
      </c>
      <c r="M210">
        <v>634329</v>
      </c>
    </row>
    <row r="211" spans="1:13" x14ac:dyDescent="0.3">
      <c r="A211" s="1">
        <v>44278</v>
      </c>
      <c r="B211" t="s">
        <v>135</v>
      </c>
      <c r="C211" t="str">
        <f t="shared" si="7"/>
        <v>Oil</v>
      </c>
      <c r="G211">
        <v>4</v>
      </c>
      <c r="H211">
        <v>69</v>
      </c>
      <c r="I211">
        <v>58.47</v>
      </c>
      <c r="J211" t="s">
        <v>19</v>
      </c>
      <c r="K211">
        <v>14</v>
      </c>
      <c r="L211">
        <v>1070</v>
      </c>
      <c r="M211">
        <v>853606</v>
      </c>
    </row>
    <row r="212" spans="1:13" x14ac:dyDescent="0.3">
      <c r="A212" s="1">
        <v>44278</v>
      </c>
      <c r="B212" t="s">
        <v>136</v>
      </c>
      <c r="C212" t="s">
        <v>178</v>
      </c>
      <c r="D212" s="4"/>
      <c r="G212">
        <v>2</v>
      </c>
      <c r="H212">
        <v>450</v>
      </c>
      <c r="I212">
        <v>381.36</v>
      </c>
      <c r="J212" t="s">
        <v>33</v>
      </c>
      <c r="K212">
        <v>11</v>
      </c>
      <c r="L212">
        <v>1070</v>
      </c>
      <c r="M212">
        <v>334795</v>
      </c>
    </row>
    <row r="213" spans="1:13" x14ac:dyDescent="0.3">
      <c r="A213" s="1">
        <v>44278</v>
      </c>
      <c r="B213" t="s">
        <v>137</v>
      </c>
      <c r="C213" t="str">
        <f>IF(LEFT($B213,FIND(" ",$B213)-1)=$D$2,"Oil",IF(LEFT($B213,FIND(" ",$B213)-1)=$D$3,"Battery", IF(LEFT($B213, FIND(" ", $B213)-1) = $D$4, "Tire", " "      )                   ))</f>
        <v>Tire</v>
      </c>
      <c r="D213" s="4"/>
      <c r="G213">
        <v>4</v>
      </c>
      <c r="H213">
        <v>720</v>
      </c>
      <c r="I213">
        <v>610.16999999999996</v>
      </c>
      <c r="J213" t="s">
        <v>41</v>
      </c>
      <c r="K213">
        <v>11</v>
      </c>
      <c r="L213">
        <v>1070</v>
      </c>
      <c r="M213">
        <v>218095</v>
      </c>
    </row>
    <row r="214" spans="1:13" x14ac:dyDescent="0.3">
      <c r="A214" s="1">
        <v>44278</v>
      </c>
      <c r="B214" t="s">
        <v>138</v>
      </c>
      <c r="C214" t="str">
        <f>IF(LEFT($B214,FIND(" ",$B214)-1)=$D$2,"Oil",IF(LEFT($B214,FIND(" ",$B214)-1)=$D$3,"Battery", IF(LEFT($B214, FIND(" ", $B214)-1) = $D$4, "Tire", " "      )                   ))</f>
        <v>Tire</v>
      </c>
      <c r="D214" s="4"/>
      <c r="G214">
        <v>4</v>
      </c>
      <c r="H214">
        <v>756</v>
      </c>
      <c r="I214">
        <v>640.67999999999995</v>
      </c>
      <c r="J214" t="s">
        <v>41</v>
      </c>
      <c r="K214">
        <v>11</v>
      </c>
      <c r="L214">
        <v>1070</v>
      </c>
      <c r="M214">
        <v>218095</v>
      </c>
    </row>
    <row r="215" spans="1:13" x14ac:dyDescent="0.3">
      <c r="A215" s="1">
        <v>44278</v>
      </c>
      <c r="B215" t="s">
        <v>139</v>
      </c>
      <c r="C215" t="str">
        <f>IF(LEFT($B215,FIND(" ",$B215)-1)=$D$2,"Oil",IF(LEFT($B215,FIND(" ",$B215)-1)=$D$3,"Battery", IF(LEFT($B215, FIND(" ", $B215)-1) = $D$4, "Tire", " "      )                   ))</f>
        <v>Oil</v>
      </c>
      <c r="G215">
        <v>4</v>
      </c>
      <c r="H215">
        <v>82.8</v>
      </c>
      <c r="I215">
        <v>70.17</v>
      </c>
      <c r="J215" t="s">
        <v>25</v>
      </c>
      <c r="K215">
        <v>14</v>
      </c>
      <c r="L215">
        <v>1070</v>
      </c>
      <c r="M215">
        <v>809627</v>
      </c>
    </row>
    <row r="216" spans="1:13" x14ac:dyDescent="0.3">
      <c r="A216" s="1">
        <v>44278</v>
      </c>
      <c r="B216" t="s">
        <v>43</v>
      </c>
      <c r="C216" t="str">
        <f>IF(LEFT($B216,FIND(" ",$B216)-1)=$D$2,"Oil",IF(LEFT($B216,FIND(" ",$B216)-1)=$D$3,"Battery", IF(LEFT($B216, FIND(" ", $B216)-1) = $D$4, "Tire", " "      )                   ))</f>
        <v>Battery</v>
      </c>
      <c r="G216">
        <v>1</v>
      </c>
      <c r="H216">
        <v>155.19999999999999</v>
      </c>
      <c r="I216">
        <v>131.53</v>
      </c>
      <c r="J216" t="s">
        <v>15</v>
      </c>
      <c r="K216">
        <v>13</v>
      </c>
      <c r="L216">
        <v>1070</v>
      </c>
      <c r="M216">
        <v>900003</v>
      </c>
    </row>
    <row r="217" spans="1:13" x14ac:dyDescent="0.3">
      <c r="A217" s="6">
        <v>44278</v>
      </c>
      <c r="B217" s="7" t="s">
        <v>136</v>
      </c>
      <c r="C217" t="s">
        <v>178</v>
      </c>
      <c r="G217" s="8">
        <v>2</v>
      </c>
      <c r="H217" s="9">
        <v>450</v>
      </c>
      <c r="I217" s="9">
        <v>381.36</v>
      </c>
      <c r="J217" s="7" t="s">
        <v>33</v>
      </c>
      <c r="K217">
        <v>11</v>
      </c>
      <c r="L217">
        <v>1070</v>
      </c>
      <c r="M217" s="7" t="s">
        <v>208</v>
      </c>
    </row>
    <row r="218" spans="1:13" x14ac:dyDescent="0.3">
      <c r="A218" s="1">
        <v>44279</v>
      </c>
      <c r="B218" t="s">
        <v>12</v>
      </c>
      <c r="C218" t="s">
        <v>178</v>
      </c>
      <c r="D218" s="4"/>
      <c r="G218">
        <v>4</v>
      </c>
      <c r="H218">
        <v>800</v>
      </c>
      <c r="I218">
        <v>677.97</v>
      </c>
      <c r="J218" t="s">
        <v>13</v>
      </c>
      <c r="K218">
        <v>11</v>
      </c>
      <c r="L218">
        <v>1070</v>
      </c>
      <c r="M218">
        <v>857006</v>
      </c>
    </row>
    <row r="219" spans="1:13" x14ac:dyDescent="0.3">
      <c r="A219" s="1">
        <v>44279</v>
      </c>
      <c r="B219" t="s">
        <v>86</v>
      </c>
      <c r="C219" t="str">
        <f>IF(LEFT($B219,FIND(" ",$B219)-1)=$D$2,"Oil",IF(LEFT($B219,FIND(" ",$B219)-1)=$D$3,"Battery", IF(LEFT($B219, FIND(" ", $B219)-1) = $D$4, "Tire", " "      )                   ))</f>
        <v>Battery</v>
      </c>
      <c r="G219">
        <v>1</v>
      </c>
      <c r="H219">
        <v>387.2</v>
      </c>
      <c r="I219">
        <v>328.14</v>
      </c>
      <c r="J219" t="s">
        <v>15</v>
      </c>
      <c r="K219">
        <v>13</v>
      </c>
      <c r="L219">
        <v>1070</v>
      </c>
      <c r="M219">
        <v>805022</v>
      </c>
    </row>
    <row r="220" spans="1:13" x14ac:dyDescent="0.3">
      <c r="A220" s="1">
        <v>44279</v>
      </c>
      <c r="B220" t="s">
        <v>140</v>
      </c>
      <c r="C220" t="str">
        <f>IF(LEFT($B220,FIND(" ",$B220)-1)=$D$2,"Oil",IF(LEFT($B220,FIND(" ",$B220)-1)=$D$3,"Battery", IF(LEFT($B220, FIND(" ", $B220)-1) = $D$4, "Tire", " "      )                   ))</f>
        <v>Battery</v>
      </c>
      <c r="G220">
        <v>1</v>
      </c>
      <c r="H220">
        <v>275.2</v>
      </c>
      <c r="I220">
        <v>233.22</v>
      </c>
      <c r="J220" t="s">
        <v>15</v>
      </c>
      <c r="K220">
        <v>13</v>
      </c>
      <c r="L220">
        <v>1070</v>
      </c>
      <c r="M220">
        <v>900003</v>
      </c>
    </row>
    <row r="221" spans="1:13" x14ac:dyDescent="0.3">
      <c r="A221" s="1">
        <v>44279</v>
      </c>
      <c r="B221" t="s">
        <v>141</v>
      </c>
      <c r="C221" t="s">
        <v>178</v>
      </c>
      <c r="D221" s="4"/>
      <c r="G221">
        <v>4</v>
      </c>
      <c r="H221" s="2">
        <v>1312</v>
      </c>
      <c r="I221" s="2">
        <v>1111.8599999999999</v>
      </c>
      <c r="J221" t="s">
        <v>39</v>
      </c>
      <c r="K221">
        <v>11</v>
      </c>
      <c r="L221">
        <v>1070</v>
      </c>
      <c r="M221">
        <v>611091</v>
      </c>
    </row>
    <row r="222" spans="1:13" x14ac:dyDescent="0.3">
      <c r="A222" s="1">
        <v>44279</v>
      </c>
      <c r="B222" t="s">
        <v>142</v>
      </c>
      <c r="C222" t="str">
        <f>IF(LEFT($B222,FIND(" ",$B222)-1)=$D$2,"Oil",IF(LEFT($B222,FIND(" ",$B222)-1)=$D$3,"Battery", IF(LEFT($B222, FIND(" ", $B222)-1) = $D$4, "Tire", " "      )                   ))</f>
        <v>Oil</v>
      </c>
      <c r="G222">
        <v>3</v>
      </c>
      <c r="H222">
        <v>56.25</v>
      </c>
      <c r="I222">
        <v>47.67</v>
      </c>
      <c r="J222" t="s">
        <v>27</v>
      </c>
      <c r="K222">
        <v>14</v>
      </c>
      <c r="L222">
        <v>1070</v>
      </c>
      <c r="M222">
        <v>648243</v>
      </c>
    </row>
    <row r="223" spans="1:13" x14ac:dyDescent="0.3">
      <c r="A223" s="1">
        <v>44279</v>
      </c>
      <c r="B223" t="s">
        <v>143</v>
      </c>
      <c r="C223" t="str">
        <f>IF(LEFT($B223,FIND(" ",$B223)-1)=$D$2,"Oil",IF(LEFT($B223,FIND(" ",$B223)-1)=$D$3,"Battery", IF(LEFT($B223, FIND(" ", $B223)-1) = $D$4, "Tire", " "      )                   ))</f>
        <v>Oil</v>
      </c>
      <c r="G223">
        <v>4</v>
      </c>
      <c r="H223">
        <v>69</v>
      </c>
      <c r="I223">
        <v>58.47</v>
      </c>
      <c r="J223" t="s">
        <v>27</v>
      </c>
      <c r="K223">
        <v>14</v>
      </c>
      <c r="L223">
        <v>1070</v>
      </c>
      <c r="M223">
        <v>648243</v>
      </c>
    </row>
    <row r="224" spans="1:13" x14ac:dyDescent="0.3">
      <c r="A224" s="1">
        <v>44279</v>
      </c>
      <c r="B224" t="s">
        <v>106</v>
      </c>
      <c r="C224" t="s">
        <v>178</v>
      </c>
      <c r="D224" s="4"/>
      <c r="G224">
        <v>4</v>
      </c>
      <c r="H224">
        <v>800</v>
      </c>
      <c r="I224">
        <v>677.97</v>
      </c>
      <c r="J224" t="s">
        <v>107</v>
      </c>
      <c r="K224">
        <v>11</v>
      </c>
      <c r="L224">
        <v>1070</v>
      </c>
      <c r="M224">
        <v>269718</v>
      </c>
    </row>
    <row r="225" spans="1:13" x14ac:dyDescent="0.3">
      <c r="A225" s="1">
        <v>44279</v>
      </c>
      <c r="B225" t="s">
        <v>22</v>
      </c>
      <c r="C225" t="str">
        <f>IF(LEFT($B225,FIND(" ",$B225)-1)=$D$2,"Oil",IF(LEFT($B225,FIND(" ",$B225)-1)=$D$3,"Battery", IF(LEFT($B225, FIND(" ", $B225)-1) = $D$4, "Tire", " "      )                   ))</f>
        <v>Battery</v>
      </c>
      <c r="G225">
        <v>1</v>
      </c>
      <c r="H225">
        <v>203.2</v>
      </c>
      <c r="I225">
        <v>172.2</v>
      </c>
      <c r="J225" t="s">
        <v>15</v>
      </c>
      <c r="K225">
        <v>13</v>
      </c>
      <c r="L225">
        <v>1070</v>
      </c>
      <c r="M225">
        <v>900003</v>
      </c>
    </row>
    <row r="226" spans="1:13" x14ac:dyDescent="0.3">
      <c r="A226" s="1">
        <v>44279</v>
      </c>
      <c r="B226" t="s">
        <v>12</v>
      </c>
      <c r="C226" t="s">
        <v>178</v>
      </c>
      <c r="D226" s="4"/>
      <c r="G226">
        <v>4</v>
      </c>
      <c r="H226">
        <v>800</v>
      </c>
      <c r="I226">
        <v>677.97</v>
      </c>
      <c r="J226" t="s">
        <v>13</v>
      </c>
      <c r="K226">
        <v>11</v>
      </c>
      <c r="L226">
        <v>1070</v>
      </c>
      <c r="M226">
        <v>900003</v>
      </c>
    </row>
    <row r="227" spans="1:13" x14ac:dyDescent="0.3">
      <c r="A227" s="1">
        <v>44279</v>
      </c>
      <c r="B227" t="s">
        <v>144</v>
      </c>
      <c r="C227" t="str">
        <f>IF(LEFT($B227,FIND(" ",$B227)-1)=$D$2,"Oil",IF(LEFT($B227,FIND(" ",$B227)-1)=$D$3,"Battery", IF(LEFT($B227, FIND(" ", $B227)-1) = $D$4, "Tire", " "      )                   ))</f>
        <v>Tire</v>
      </c>
      <c r="D227" s="4"/>
      <c r="G227">
        <v>4</v>
      </c>
      <c r="H227">
        <v>832</v>
      </c>
      <c r="I227">
        <v>705.08</v>
      </c>
      <c r="J227" t="s">
        <v>39</v>
      </c>
      <c r="K227">
        <v>11</v>
      </c>
      <c r="L227">
        <v>1070</v>
      </c>
      <c r="M227">
        <v>656231</v>
      </c>
    </row>
    <row r="228" spans="1:13" x14ac:dyDescent="0.3">
      <c r="A228" s="1">
        <v>44279</v>
      </c>
      <c r="B228" t="s">
        <v>135</v>
      </c>
      <c r="C228" t="str">
        <f>IF(LEFT($B228,FIND(" ",$B228)-1)=$D$2,"Oil",IF(LEFT($B228,FIND(" ",$B228)-1)=$D$3,"Battery", IF(LEFT($B228, FIND(" ", $B228)-1) = $D$4, "Tire", " "      )                   ))</f>
        <v>Oil</v>
      </c>
      <c r="G228">
        <v>8</v>
      </c>
      <c r="H228">
        <v>138</v>
      </c>
      <c r="I228">
        <v>116.95</v>
      </c>
      <c r="J228" t="s">
        <v>19</v>
      </c>
      <c r="K228">
        <v>14</v>
      </c>
      <c r="L228">
        <v>1070</v>
      </c>
      <c r="M228">
        <v>900003</v>
      </c>
    </row>
    <row r="229" spans="1:13" x14ac:dyDescent="0.3">
      <c r="A229" s="1">
        <v>44279</v>
      </c>
      <c r="B229" t="s">
        <v>106</v>
      </c>
      <c r="C229" t="s">
        <v>178</v>
      </c>
      <c r="D229" s="4"/>
      <c r="G229">
        <v>4</v>
      </c>
      <c r="H229">
        <v>800</v>
      </c>
      <c r="I229">
        <v>677.97</v>
      </c>
      <c r="J229" t="s">
        <v>107</v>
      </c>
      <c r="K229">
        <v>11</v>
      </c>
      <c r="L229">
        <v>1070</v>
      </c>
      <c r="M229">
        <v>900003</v>
      </c>
    </row>
    <row r="230" spans="1:13" x14ac:dyDescent="0.3">
      <c r="A230" s="1">
        <v>44279</v>
      </c>
      <c r="B230" t="s">
        <v>106</v>
      </c>
      <c r="C230" t="s">
        <v>178</v>
      </c>
      <c r="D230" s="4"/>
      <c r="G230">
        <v>4</v>
      </c>
      <c r="H230">
        <v>800</v>
      </c>
      <c r="I230">
        <v>677.97</v>
      </c>
      <c r="J230" t="s">
        <v>107</v>
      </c>
      <c r="K230">
        <v>11</v>
      </c>
      <c r="L230">
        <v>1070</v>
      </c>
      <c r="M230">
        <v>900003</v>
      </c>
    </row>
    <row r="231" spans="1:13" x14ac:dyDescent="0.3">
      <c r="A231" s="1">
        <v>44279</v>
      </c>
      <c r="B231" t="s">
        <v>145</v>
      </c>
      <c r="C231" t="str">
        <f>IF(LEFT($B231,FIND(" ",$B231)-1)=$D$2,"Oil",IF(LEFT($B231,FIND(" ",$B231)-1)=$D$3,"Battery", IF(LEFT($B231, FIND(" ", $B231)-1) = $D$4, "Tire", " "      )                   ))</f>
        <v>Oil</v>
      </c>
      <c r="G231">
        <v>5</v>
      </c>
      <c r="H231">
        <v>153</v>
      </c>
      <c r="I231">
        <v>129.66</v>
      </c>
      <c r="J231" t="s">
        <v>25</v>
      </c>
      <c r="K231">
        <v>14</v>
      </c>
      <c r="L231">
        <v>1070</v>
      </c>
      <c r="M231">
        <v>625651</v>
      </c>
    </row>
    <row r="232" spans="1:13" x14ac:dyDescent="0.3">
      <c r="A232" s="6">
        <v>44279</v>
      </c>
      <c r="B232" s="7" t="s">
        <v>12</v>
      </c>
      <c r="C232" t="s">
        <v>178</v>
      </c>
      <c r="G232" s="8">
        <v>4</v>
      </c>
      <c r="H232" s="9">
        <v>800</v>
      </c>
      <c r="I232" s="9">
        <v>677.97</v>
      </c>
      <c r="J232" s="7" t="s">
        <v>13</v>
      </c>
      <c r="K232">
        <v>11</v>
      </c>
      <c r="L232">
        <v>1070</v>
      </c>
      <c r="M232" s="7" t="s">
        <v>209</v>
      </c>
    </row>
    <row r="233" spans="1:13" x14ac:dyDescent="0.3">
      <c r="A233" s="6">
        <v>44279</v>
      </c>
      <c r="B233" s="7" t="s">
        <v>106</v>
      </c>
      <c r="C233" t="s">
        <v>178</v>
      </c>
      <c r="G233" s="8">
        <v>4</v>
      </c>
      <c r="H233" s="9">
        <v>800</v>
      </c>
      <c r="I233" s="9">
        <v>677.97</v>
      </c>
      <c r="J233" s="7" t="s">
        <v>107</v>
      </c>
      <c r="K233">
        <v>11</v>
      </c>
      <c r="L233">
        <v>1070</v>
      </c>
      <c r="M233" s="7" t="s">
        <v>210</v>
      </c>
    </row>
    <row r="234" spans="1:13" x14ac:dyDescent="0.3">
      <c r="A234" s="6">
        <v>44279</v>
      </c>
      <c r="B234" s="7" t="s">
        <v>12</v>
      </c>
      <c r="C234" t="s">
        <v>178</v>
      </c>
      <c r="G234" s="8">
        <v>4</v>
      </c>
      <c r="H234" s="9">
        <v>800</v>
      </c>
      <c r="I234" s="9">
        <v>677.97</v>
      </c>
      <c r="J234" s="7" t="s">
        <v>13</v>
      </c>
      <c r="K234">
        <v>11</v>
      </c>
      <c r="L234">
        <v>1070</v>
      </c>
      <c r="M234" s="7" t="s">
        <v>203</v>
      </c>
    </row>
    <row r="235" spans="1:13" x14ac:dyDescent="0.3">
      <c r="A235" s="6">
        <v>44279</v>
      </c>
      <c r="B235" s="7" t="s">
        <v>106</v>
      </c>
      <c r="C235" t="s">
        <v>178</v>
      </c>
      <c r="G235" s="8">
        <v>4</v>
      </c>
      <c r="H235" s="9">
        <v>800</v>
      </c>
      <c r="I235" s="9">
        <v>677.97</v>
      </c>
      <c r="J235" s="7" t="s">
        <v>107</v>
      </c>
      <c r="K235">
        <v>11</v>
      </c>
      <c r="L235">
        <v>1070</v>
      </c>
      <c r="M235" s="7" t="s">
        <v>203</v>
      </c>
    </row>
    <row r="236" spans="1:13" x14ac:dyDescent="0.3">
      <c r="A236" s="6">
        <v>44279</v>
      </c>
      <c r="B236" s="7" t="s">
        <v>106</v>
      </c>
      <c r="C236" t="s">
        <v>178</v>
      </c>
      <c r="G236" s="8">
        <v>4</v>
      </c>
      <c r="H236" s="9">
        <v>800</v>
      </c>
      <c r="I236" s="9">
        <v>677.97</v>
      </c>
      <c r="J236" s="7" t="s">
        <v>107</v>
      </c>
      <c r="K236">
        <v>11</v>
      </c>
      <c r="L236">
        <v>1070</v>
      </c>
      <c r="M236" s="7" t="s">
        <v>203</v>
      </c>
    </row>
    <row r="237" spans="1:13" x14ac:dyDescent="0.3">
      <c r="A237" s="1">
        <v>44280</v>
      </c>
      <c r="B237" t="s">
        <v>31</v>
      </c>
      <c r="C237" t="str">
        <f>IF(LEFT($B237,FIND(" ",$B237)-1)=$D$2,"Oil",IF(LEFT($B237,FIND(" ",$B237)-1)=$D$3,"Battery", IF(LEFT($B237, FIND(" ", $B237)-1) = $D$4, "Tire", " "      )                   ))</f>
        <v>Battery</v>
      </c>
      <c r="G237">
        <v>1</v>
      </c>
      <c r="H237">
        <v>175.2</v>
      </c>
      <c r="I237">
        <v>148.47</v>
      </c>
      <c r="J237" t="s">
        <v>15</v>
      </c>
      <c r="K237">
        <v>13</v>
      </c>
      <c r="L237">
        <v>1070</v>
      </c>
      <c r="M237">
        <v>207867</v>
      </c>
    </row>
    <row r="238" spans="1:13" x14ac:dyDescent="0.3">
      <c r="A238" s="1">
        <v>44280</v>
      </c>
      <c r="B238" t="s">
        <v>146</v>
      </c>
      <c r="C238" t="str">
        <f>IF(LEFT($B238,FIND(" ",$B238)-1)=$D$2,"Oil",IF(LEFT($B238,FIND(" ",$B238)-1)=$D$3,"Battery", IF(LEFT($B238, FIND(" ", $B238)-1) = $D$4, "Tire", " "      )                   ))</f>
        <v>Battery</v>
      </c>
      <c r="G238">
        <v>1</v>
      </c>
      <c r="H238">
        <v>572.9</v>
      </c>
      <c r="I238">
        <v>485.51</v>
      </c>
      <c r="J238" t="s">
        <v>147</v>
      </c>
      <c r="K238">
        <v>13</v>
      </c>
      <c r="L238">
        <v>1070</v>
      </c>
      <c r="M238">
        <v>274766</v>
      </c>
    </row>
    <row r="239" spans="1:13" x14ac:dyDescent="0.3">
      <c r="A239" s="1">
        <v>44280</v>
      </c>
      <c r="B239" t="s">
        <v>148</v>
      </c>
      <c r="C239" t="str">
        <f>IF(LEFT($B239,FIND(" ",$B239)-1)=$D$2,"Oil",IF(LEFT($B239,FIND(" ",$B239)-1)=$D$3,"Battery", IF(LEFT($B239, FIND(" ", $B239)-1) = $D$4, "Tire", " "      )                   ))</f>
        <v>Oil</v>
      </c>
      <c r="G239">
        <v>3</v>
      </c>
      <c r="H239">
        <v>78.75</v>
      </c>
      <c r="I239">
        <v>66.739999999999995</v>
      </c>
      <c r="J239" t="s">
        <v>19</v>
      </c>
      <c r="K239">
        <v>14</v>
      </c>
      <c r="L239">
        <v>1070</v>
      </c>
      <c r="M239">
        <v>624614</v>
      </c>
    </row>
    <row r="240" spans="1:13" x14ac:dyDescent="0.3">
      <c r="A240" s="1">
        <v>44280</v>
      </c>
      <c r="B240" t="s">
        <v>149</v>
      </c>
      <c r="C240" t="str">
        <f>IF(LEFT($B240,FIND(" ",$B240)-1)=$D$2,"Oil",IF(LEFT($B240,FIND(" ",$B240)-1)=$D$3,"Battery", IF(LEFT($B240, FIND(" ", $B240)-1) = $D$4, "Tire", " "      )                   ))</f>
        <v>Oil</v>
      </c>
      <c r="G240">
        <v>4</v>
      </c>
      <c r="H240">
        <v>111</v>
      </c>
      <c r="I240">
        <v>94.07</v>
      </c>
      <c r="J240" t="s">
        <v>19</v>
      </c>
      <c r="K240">
        <v>14</v>
      </c>
      <c r="L240">
        <v>1070</v>
      </c>
      <c r="M240">
        <v>261478</v>
      </c>
    </row>
    <row r="241" spans="1:13" x14ac:dyDescent="0.3">
      <c r="A241" s="1">
        <v>44280</v>
      </c>
      <c r="B241" t="s">
        <v>108</v>
      </c>
      <c r="C241" t="s">
        <v>178</v>
      </c>
      <c r="D241" s="4"/>
      <c r="G241">
        <v>4</v>
      </c>
      <c r="H241">
        <v>800</v>
      </c>
      <c r="I241">
        <v>677.97</v>
      </c>
      <c r="J241" t="s">
        <v>39</v>
      </c>
      <c r="K241">
        <v>11</v>
      </c>
      <c r="L241">
        <v>1070</v>
      </c>
      <c r="M241">
        <v>900003</v>
      </c>
    </row>
    <row r="242" spans="1:13" x14ac:dyDescent="0.3">
      <c r="A242" s="1">
        <v>44280</v>
      </c>
      <c r="B242" t="s">
        <v>31</v>
      </c>
      <c r="C242" t="str">
        <f>IF(LEFT($B242,FIND(" ",$B242)-1)=$D$2,"Oil",IF(LEFT($B242,FIND(" ",$B242)-1)=$D$3,"Battery", IF(LEFT($B242, FIND(" ", $B242)-1) = $D$4, "Tire", " "      )                   ))</f>
        <v>Battery</v>
      </c>
      <c r="G242">
        <v>1</v>
      </c>
      <c r="H242">
        <v>175.2</v>
      </c>
      <c r="I242">
        <v>148.47</v>
      </c>
      <c r="J242" t="s">
        <v>15</v>
      </c>
      <c r="K242">
        <v>13</v>
      </c>
      <c r="L242">
        <v>1070</v>
      </c>
      <c r="M242">
        <v>900003</v>
      </c>
    </row>
    <row r="243" spans="1:13" x14ac:dyDescent="0.3">
      <c r="A243" s="1">
        <v>44280</v>
      </c>
      <c r="B243" t="s">
        <v>150</v>
      </c>
      <c r="C243" t="str">
        <f>IF(LEFT($B243,FIND(" ",$B243)-1)=$D$2,"Oil",IF(LEFT($B243,FIND(" ",$B243)-1)=$D$3,"Battery", IF(LEFT($B243, FIND(" ", $B243)-1) = $D$4, "Tire", " "      )                   ))</f>
        <v>Battery</v>
      </c>
      <c r="G243">
        <v>1</v>
      </c>
      <c r="H243">
        <v>155.19999999999999</v>
      </c>
      <c r="I243">
        <v>131.53</v>
      </c>
      <c r="J243" t="s">
        <v>15</v>
      </c>
      <c r="K243">
        <v>13</v>
      </c>
      <c r="L243">
        <v>1070</v>
      </c>
      <c r="M243">
        <v>261481</v>
      </c>
    </row>
    <row r="244" spans="1:13" x14ac:dyDescent="0.3">
      <c r="A244" s="1">
        <v>44280</v>
      </c>
      <c r="B244" t="s">
        <v>108</v>
      </c>
      <c r="C244" t="s">
        <v>178</v>
      </c>
      <c r="D244" s="4"/>
      <c r="G244">
        <v>2</v>
      </c>
      <c r="H244">
        <v>400</v>
      </c>
      <c r="I244">
        <v>338.98</v>
      </c>
      <c r="J244" t="s">
        <v>39</v>
      </c>
      <c r="K244">
        <v>11</v>
      </c>
      <c r="L244">
        <v>1070</v>
      </c>
      <c r="M244">
        <v>900003</v>
      </c>
    </row>
    <row r="245" spans="1:13" x14ac:dyDescent="0.3">
      <c r="A245" s="1">
        <v>44280</v>
      </c>
      <c r="B245" t="s">
        <v>151</v>
      </c>
      <c r="C245" t="str">
        <f t="shared" ref="C245:C250" si="8">IF(LEFT($B245,FIND(" ",$B245)-1)=$D$2,"Oil",IF(LEFT($B245,FIND(" ",$B245)-1)=$D$3,"Battery", IF(LEFT($B245, FIND(" ", $B245)-1) = $D$4, "Tire", " "      )                   ))</f>
        <v>Oil</v>
      </c>
      <c r="G245">
        <v>4</v>
      </c>
      <c r="H245">
        <v>114</v>
      </c>
      <c r="I245">
        <v>96.61</v>
      </c>
      <c r="J245" t="s">
        <v>19</v>
      </c>
      <c r="K245">
        <v>14</v>
      </c>
      <c r="L245">
        <v>1070</v>
      </c>
      <c r="M245">
        <v>804891</v>
      </c>
    </row>
    <row r="246" spans="1:13" x14ac:dyDescent="0.3">
      <c r="A246" s="1">
        <v>44280</v>
      </c>
      <c r="B246" t="s">
        <v>97</v>
      </c>
      <c r="C246" t="str">
        <f t="shared" si="8"/>
        <v>Oil</v>
      </c>
      <c r="G246">
        <v>4</v>
      </c>
      <c r="H246">
        <v>75</v>
      </c>
      <c r="I246">
        <v>63.56</v>
      </c>
      <c r="J246" t="s">
        <v>27</v>
      </c>
      <c r="K246">
        <v>14</v>
      </c>
      <c r="L246">
        <v>1070</v>
      </c>
      <c r="M246">
        <v>900003</v>
      </c>
    </row>
    <row r="247" spans="1:13" x14ac:dyDescent="0.3">
      <c r="A247" s="1">
        <v>44280</v>
      </c>
      <c r="B247" t="s">
        <v>48</v>
      </c>
      <c r="C247" t="str">
        <f t="shared" si="8"/>
        <v>Battery</v>
      </c>
      <c r="G247">
        <v>1</v>
      </c>
      <c r="H247">
        <v>259.2</v>
      </c>
      <c r="I247">
        <v>219.66</v>
      </c>
      <c r="J247" t="s">
        <v>15</v>
      </c>
      <c r="K247">
        <v>13</v>
      </c>
      <c r="L247">
        <v>1070</v>
      </c>
      <c r="M247">
        <v>900003</v>
      </c>
    </row>
    <row r="248" spans="1:13" x14ac:dyDescent="0.3">
      <c r="A248" s="1">
        <v>44280</v>
      </c>
      <c r="B248" t="s">
        <v>100</v>
      </c>
      <c r="C248" t="str">
        <f t="shared" si="8"/>
        <v>Battery</v>
      </c>
      <c r="G248">
        <v>1</v>
      </c>
      <c r="H248">
        <v>239</v>
      </c>
      <c r="I248">
        <v>202.54</v>
      </c>
      <c r="J248" t="s">
        <v>76</v>
      </c>
      <c r="K248">
        <v>13</v>
      </c>
      <c r="L248">
        <v>1070</v>
      </c>
      <c r="M248">
        <v>820900</v>
      </c>
    </row>
    <row r="249" spans="1:13" x14ac:dyDescent="0.3">
      <c r="A249" s="1">
        <v>44280</v>
      </c>
      <c r="B249" t="s">
        <v>152</v>
      </c>
      <c r="C249" t="str">
        <f t="shared" si="8"/>
        <v>Tire</v>
      </c>
      <c r="D249" s="4"/>
      <c r="G249">
        <v>5</v>
      </c>
      <c r="H249" s="2">
        <v>2300</v>
      </c>
      <c r="I249" s="2">
        <v>1949.15</v>
      </c>
      <c r="J249" t="s">
        <v>39</v>
      </c>
      <c r="K249">
        <v>11</v>
      </c>
      <c r="L249">
        <v>1070</v>
      </c>
      <c r="M249">
        <v>245682</v>
      </c>
    </row>
    <row r="250" spans="1:13" x14ac:dyDescent="0.3">
      <c r="A250" s="1">
        <v>44280</v>
      </c>
      <c r="B250" t="s">
        <v>153</v>
      </c>
      <c r="C250" t="str">
        <f t="shared" si="8"/>
        <v>Battery</v>
      </c>
      <c r="G250">
        <v>1</v>
      </c>
      <c r="H250">
        <v>435.2</v>
      </c>
      <c r="I250">
        <v>368.81</v>
      </c>
      <c r="J250" t="s">
        <v>15</v>
      </c>
      <c r="K250">
        <v>13</v>
      </c>
      <c r="L250">
        <v>1070</v>
      </c>
      <c r="M250">
        <v>661267</v>
      </c>
    </row>
    <row r="251" spans="1:13" x14ac:dyDescent="0.3">
      <c r="A251" s="1">
        <v>44280</v>
      </c>
      <c r="B251" t="s">
        <v>108</v>
      </c>
      <c r="C251" t="s">
        <v>178</v>
      </c>
      <c r="D251" s="4"/>
      <c r="G251">
        <v>4</v>
      </c>
      <c r="H251">
        <v>800</v>
      </c>
      <c r="I251">
        <v>677.97</v>
      </c>
      <c r="J251" t="s">
        <v>39</v>
      </c>
      <c r="K251">
        <v>11</v>
      </c>
      <c r="L251">
        <v>1070</v>
      </c>
      <c r="M251">
        <v>900003</v>
      </c>
    </row>
    <row r="252" spans="1:13" x14ac:dyDescent="0.3">
      <c r="A252" s="1">
        <v>44280</v>
      </c>
      <c r="B252" t="s">
        <v>175</v>
      </c>
      <c r="C252" t="str">
        <f t="shared" ref="C252:C284" si="9">IF(LEFT($B252,FIND(" ",$B252)-1)=$D$2,"Oil",IF(LEFT($B252,FIND(" ",$B252)-1)=$D$3,"Battery", IF(LEFT($B252, FIND(" ", $B252)-1) = $D$4, "Tire", " "      )                   ))</f>
        <v>Tire</v>
      </c>
      <c r="D252" s="4"/>
      <c r="G252">
        <v>4</v>
      </c>
      <c r="H252">
        <v>992</v>
      </c>
      <c r="I252">
        <v>840.68</v>
      </c>
      <c r="J252" t="s">
        <v>39</v>
      </c>
      <c r="K252">
        <v>11</v>
      </c>
      <c r="L252">
        <v>1070</v>
      </c>
      <c r="M252">
        <v>871151</v>
      </c>
    </row>
    <row r="253" spans="1:13" x14ac:dyDescent="0.3">
      <c r="A253" s="6">
        <v>44280</v>
      </c>
      <c r="B253" s="7" t="s">
        <v>108</v>
      </c>
      <c r="C253" t="s">
        <v>178</v>
      </c>
      <c r="D253" s="4"/>
      <c r="G253" s="8">
        <v>4</v>
      </c>
      <c r="H253" s="9">
        <v>800</v>
      </c>
      <c r="I253" s="9">
        <v>677.97</v>
      </c>
      <c r="J253" s="7" t="s">
        <v>39</v>
      </c>
      <c r="K253">
        <v>11</v>
      </c>
      <c r="L253">
        <v>1070</v>
      </c>
      <c r="M253" s="7" t="s">
        <v>203</v>
      </c>
    </row>
    <row r="254" spans="1:13" x14ac:dyDescent="0.3">
      <c r="A254" s="6">
        <v>44280</v>
      </c>
      <c r="B254" s="7" t="s">
        <v>108</v>
      </c>
      <c r="C254" t="s">
        <v>178</v>
      </c>
      <c r="D254" s="4"/>
      <c r="G254" s="8">
        <v>2</v>
      </c>
      <c r="H254" s="9">
        <v>400</v>
      </c>
      <c r="I254" s="9">
        <v>338.98</v>
      </c>
      <c r="J254" s="7" t="s">
        <v>39</v>
      </c>
      <c r="K254">
        <v>11</v>
      </c>
      <c r="L254">
        <v>1070</v>
      </c>
      <c r="M254" s="7" t="s">
        <v>203</v>
      </c>
    </row>
    <row r="255" spans="1:13" x14ac:dyDescent="0.3">
      <c r="A255" s="1">
        <v>44281</v>
      </c>
      <c r="B255" t="s">
        <v>43</v>
      </c>
      <c r="C255" t="str">
        <f t="shared" si="9"/>
        <v>Battery</v>
      </c>
      <c r="G255">
        <v>1</v>
      </c>
      <c r="H255">
        <v>155.19999999999999</v>
      </c>
      <c r="I255">
        <v>131.53</v>
      </c>
      <c r="J255" t="s">
        <v>15</v>
      </c>
      <c r="K255">
        <v>13</v>
      </c>
      <c r="L255">
        <v>1070</v>
      </c>
      <c r="M255">
        <v>900003</v>
      </c>
    </row>
    <row r="256" spans="1:13" x14ac:dyDescent="0.3">
      <c r="A256" s="1">
        <v>44281</v>
      </c>
      <c r="B256" t="s">
        <v>86</v>
      </c>
      <c r="C256" t="str">
        <f t="shared" si="9"/>
        <v>Battery</v>
      </c>
      <c r="G256">
        <v>1</v>
      </c>
      <c r="H256">
        <v>387.2</v>
      </c>
      <c r="I256">
        <v>328.14</v>
      </c>
      <c r="J256" t="s">
        <v>15</v>
      </c>
      <c r="K256">
        <v>13</v>
      </c>
      <c r="L256">
        <v>1070</v>
      </c>
      <c r="M256">
        <v>900003</v>
      </c>
    </row>
    <row r="257" spans="1:13" x14ac:dyDescent="0.3">
      <c r="A257" s="1">
        <v>44281</v>
      </c>
      <c r="B257" t="s">
        <v>21</v>
      </c>
      <c r="C257" t="str">
        <f t="shared" si="9"/>
        <v>Battery</v>
      </c>
      <c r="G257">
        <v>1</v>
      </c>
      <c r="H257">
        <v>387.2</v>
      </c>
      <c r="I257">
        <v>328.13</v>
      </c>
      <c r="J257" t="s">
        <v>15</v>
      </c>
      <c r="K257">
        <v>13</v>
      </c>
      <c r="L257">
        <v>1070</v>
      </c>
      <c r="M257">
        <v>900003</v>
      </c>
    </row>
    <row r="258" spans="1:13" x14ac:dyDescent="0.3">
      <c r="A258" s="1">
        <v>44281</v>
      </c>
      <c r="B258" t="s">
        <v>14</v>
      </c>
      <c r="C258" t="str">
        <f t="shared" si="9"/>
        <v>Battery</v>
      </c>
      <c r="G258">
        <v>1</v>
      </c>
      <c r="H258">
        <v>263.2</v>
      </c>
      <c r="I258">
        <v>223.05</v>
      </c>
      <c r="J258" t="s">
        <v>15</v>
      </c>
      <c r="K258">
        <v>13</v>
      </c>
      <c r="L258">
        <v>1070</v>
      </c>
      <c r="M258">
        <v>900003</v>
      </c>
    </row>
    <row r="259" spans="1:13" x14ac:dyDescent="0.3">
      <c r="A259" s="1">
        <v>44281</v>
      </c>
      <c r="B259" t="s">
        <v>57</v>
      </c>
      <c r="C259" t="str">
        <f t="shared" si="9"/>
        <v>Tire</v>
      </c>
      <c r="D259" s="4"/>
      <c r="G259">
        <v>2</v>
      </c>
      <c r="H259">
        <v>264</v>
      </c>
      <c r="I259">
        <v>223.73</v>
      </c>
      <c r="J259" t="s">
        <v>39</v>
      </c>
      <c r="K259">
        <v>11</v>
      </c>
      <c r="L259">
        <v>1070</v>
      </c>
      <c r="M259">
        <v>232603</v>
      </c>
    </row>
    <row r="260" spans="1:13" x14ac:dyDescent="0.3">
      <c r="A260" s="1">
        <v>44281</v>
      </c>
      <c r="B260" t="s">
        <v>154</v>
      </c>
      <c r="C260" t="str">
        <f t="shared" si="9"/>
        <v>Battery</v>
      </c>
      <c r="G260">
        <v>1</v>
      </c>
      <c r="H260">
        <v>175.2</v>
      </c>
      <c r="I260">
        <v>148.47</v>
      </c>
      <c r="J260" t="s">
        <v>15</v>
      </c>
      <c r="K260">
        <v>13</v>
      </c>
      <c r="L260">
        <v>1070</v>
      </c>
      <c r="M260">
        <v>760126</v>
      </c>
    </row>
    <row r="261" spans="1:13" x14ac:dyDescent="0.3">
      <c r="A261" s="1">
        <v>44281</v>
      </c>
      <c r="B261" t="s">
        <v>31</v>
      </c>
      <c r="C261" t="str">
        <f t="shared" si="9"/>
        <v>Battery</v>
      </c>
      <c r="G261">
        <v>1</v>
      </c>
      <c r="H261">
        <v>175.2</v>
      </c>
      <c r="I261">
        <v>148.47</v>
      </c>
      <c r="J261" t="s">
        <v>15</v>
      </c>
      <c r="K261">
        <v>13</v>
      </c>
      <c r="L261">
        <v>1070</v>
      </c>
      <c r="M261">
        <v>900003</v>
      </c>
    </row>
    <row r="262" spans="1:13" x14ac:dyDescent="0.3">
      <c r="A262" s="1">
        <v>44281</v>
      </c>
      <c r="B262" t="s">
        <v>37</v>
      </c>
      <c r="C262" t="str">
        <f t="shared" si="9"/>
        <v>Battery</v>
      </c>
      <c r="G262">
        <v>1</v>
      </c>
      <c r="H262">
        <v>403.2</v>
      </c>
      <c r="I262">
        <v>341.69</v>
      </c>
      <c r="J262" t="s">
        <v>15</v>
      </c>
      <c r="K262">
        <v>13</v>
      </c>
      <c r="L262">
        <v>1070</v>
      </c>
      <c r="M262">
        <v>900003</v>
      </c>
    </row>
    <row r="263" spans="1:13" x14ac:dyDescent="0.3">
      <c r="A263" s="1">
        <v>44281</v>
      </c>
      <c r="B263" t="s">
        <v>22</v>
      </c>
      <c r="C263" t="str">
        <f t="shared" si="9"/>
        <v>Battery</v>
      </c>
      <c r="G263">
        <v>1</v>
      </c>
      <c r="H263">
        <v>203.2</v>
      </c>
      <c r="I263">
        <v>172.2</v>
      </c>
      <c r="J263" t="s">
        <v>15</v>
      </c>
      <c r="K263">
        <v>13</v>
      </c>
      <c r="L263">
        <v>1070</v>
      </c>
      <c r="M263">
        <v>900003</v>
      </c>
    </row>
    <row r="264" spans="1:13" x14ac:dyDescent="0.3">
      <c r="A264" s="1">
        <v>44281</v>
      </c>
      <c r="B264" t="s">
        <v>100</v>
      </c>
      <c r="C264" t="str">
        <f t="shared" si="9"/>
        <v>Battery</v>
      </c>
      <c r="G264">
        <v>1</v>
      </c>
      <c r="H264">
        <v>239</v>
      </c>
      <c r="I264">
        <v>202.54</v>
      </c>
      <c r="J264" t="s">
        <v>76</v>
      </c>
      <c r="K264">
        <v>13</v>
      </c>
      <c r="L264">
        <v>1070</v>
      </c>
      <c r="M264">
        <v>663326</v>
      </c>
    </row>
    <row r="265" spans="1:13" x14ac:dyDescent="0.3">
      <c r="A265" s="1">
        <v>44282</v>
      </c>
      <c r="B265" t="s">
        <v>118</v>
      </c>
      <c r="C265" t="str">
        <f t="shared" si="9"/>
        <v>Oil</v>
      </c>
      <c r="G265">
        <v>7</v>
      </c>
      <c r="H265">
        <v>136.5</v>
      </c>
      <c r="I265">
        <v>115.68</v>
      </c>
      <c r="J265" t="s">
        <v>19</v>
      </c>
      <c r="K265">
        <v>14</v>
      </c>
      <c r="L265">
        <v>1070</v>
      </c>
      <c r="M265">
        <v>900003</v>
      </c>
    </row>
    <row r="266" spans="1:13" x14ac:dyDescent="0.3">
      <c r="A266" s="1">
        <v>44282</v>
      </c>
      <c r="B266" t="s">
        <v>53</v>
      </c>
      <c r="C266" t="str">
        <f t="shared" si="9"/>
        <v>Oil</v>
      </c>
      <c r="G266">
        <v>5</v>
      </c>
      <c r="H266">
        <v>120</v>
      </c>
      <c r="I266">
        <v>101.7</v>
      </c>
      <c r="J266" t="s">
        <v>19</v>
      </c>
      <c r="K266">
        <v>14</v>
      </c>
      <c r="L266">
        <v>1070</v>
      </c>
      <c r="M266">
        <v>825558</v>
      </c>
    </row>
    <row r="267" spans="1:13" x14ac:dyDescent="0.3">
      <c r="A267" s="1">
        <v>44282</v>
      </c>
      <c r="B267" t="s">
        <v>16</v>
      </c>
      <c r="C267" t="str">
        <f t="shared" si="9"/>
        <v>Battery</v>
      </c>
      <c r="G267">
        <v>1</v>
      </c>
      <c r="H267">
        <v>731.2</v>
      </c>
      <c r="I267">
        <v>619.66</v>
      </c>
      <c r="J267" t="s">
        <v>15</v>
      </c>
      <c r="K267">
        <v>13</v>
      </c>
      <c r="L267">
        <v>1070</v>
      </c>
      <c r="M267">
        <v>244744</v>
      </c>
    </row>
    <row r="268" spans="1:13" x14ac:dyDescent="0.3">
      <c r="A268" s="1">
        <v>44282</v>
      </c>
      <c r="B268" t="s">
        <v>155</v>
      </c>
      <c r="C268" t="str">
        <f t="shared" si="9"/>
        <v>Oil</v>
      </c>
      <c r="G268">
        <v>6</v>
      </c>
      <c r="H268">
        <v>157.5</v>
      </c>
      <c r="I268">
        <v>133.47</v>
      </c>
      <c r="J268" t="s">
        <v>27</v>
      </c>
      <c r="K268">
        <v>14</v>
      </c>
      <c r="L268">
        <v>1070</v>
      </c>
      <c r="M268">
        <v>638258</v>
      </c>
    </row>
    <row r="269" spans="1:13" x14ac:dyDescent="0.3">
      <c r="A269" s="1">
        <v>44282</v>
      </c>
      <c r="B269" t="s">
        <v>156</v>
      </c>
      <c r="C269" t="str">
        <f t="shared" si="9"/>
        <v>Oil</v>
      </c>
      <c r="G269">
        <v>6</v>
      </c>
      <c r="H269">
        <v>121.5</v>
      </c>
      <c r="I269">
        <v>102.97</v>
      </c>
      <c r="J269" t="s">
        <v>19</v>
      </c>
      <c r="K269">
        <v>14</v>
      </c>
      <c r="L269">
        <v>1070</v>
      </c>
      <c r="M269">
        <v>834424</v>
      </c>
    </row>
    <row r="270" spans="1:13" x14ac:dyDescent="0.3">
      <c r="A270" s="1">
        <v>44282</v>
      </c>
      <c r="B270" t="s">
        <v>90</v>
      </c>
      <c r="C270" t="str">
        <f t="shared" si="9"/>
        <v>Oil</v>
      </c>
      <c r="G270">
        <v>4</v>
      </c>
      <c r="H270">
        <v>69</v>
      </c>
      <c r="I270">
        <v>58.47</v>
      </c>
      <c r="J270" t="s">
        <v>19</v>
      </c>
      <c r="K270">
        <v>14</v>
      </c>
      <c r="L270">
        <v>1070</v>
      </c>
      <c r="M270">
        <v>900003</v>
      </c>
    </row>
    <row r="271" spans="1:13" x14ac:dyDescent="0.3">
      <c r="A271" s="1">
        <v>44284</v>
      </c>
      <c r="B271" t="s">
        <v>45</v>
      </c>
      <c r="C271" t="str">
        <f t="shared" si="9"/>
        <v>Oil</v>
      </c>
      <c r="G271">
        <v>4</v>
      </c>
      <c r="H271">
        <v>105</v>
      </c>
      <c r="I271">
        <v>88.98</v>
      </c>
      <c r="J271" t="s">
        <v>19</v>
      </c>
      <c r="K271">
        <v>14</v>
      </c>
      <c r="L271">
        <v>1070</v>
      </c>
      <c r="M271">
        <v>900003</v>
      </c>
    </row>
    <row r="272" spans="1:13" x14ac:dyDescent="0.3">
      <c r="A272" s="1">
        <v>44284</v>
      </c>
      <c r="B272" t="s">
        <v>157</v>
      </c>
      <c r="C272" t="str">
        <f t="shared" si="9"/>
        <v>Battery</v>
      </c>
      <c r="G272">
        <v>1</v>
      </c>
      <c r="H272">
        <v>623.9</v>
      </c>
      <c r="I272">
        <v>528.73</v>
      </c>
      <c r="J272" t="s">
        <v>71</v>
      </c>
      <c r="K272">
        <v>13</v>
      </c>
      <c r="L272">
        <v>1070</v>
      </c>
      <c r="M272">
        <v>900003</v>
      </c>
    </row>
    <row r="273" spans="1:13" x14ac:dyDescent="0.3">
      <c r="A273" s="1">
        <v>44284</v>
      </c>
      <c r="B273" t="s">
        <v>158</v>
      </c>
      <c r="C273" t="str">
        <f t="shared" si="9"/>
        <v>Tire</v>
      </c>
      <c r="D273" s="4"/>
      <c r="G273">
        <v>1</v>
      </c>
      <c r="H273">
        <v>58.5</v>
      </c>
      <c r="I273">
        <v>49.58</v>
      </c>
      <c r="J273" t="s">
        <v>159</v>
      </c>
      <c r="K273">
        <v>11</v>
      </c>
      <c r="L273">
        <v>1070</v>
      </c>
      <c r="M273">
        <v>811434</v>
      </c>
    </row>
    <row r="274" spans="1:13" x14ac:dyDescent="0.3">
      <c r="A274" s="1">
        <v>44284</v>
      </c>
      <c r="B274" t="s">
        <v>160</v>
      </c>
      <c r="C274" t="str">
        <f t="shared" si="9"/>
        <v>Tire</v>
      </c>
      <c r="D274" s="4"/>
      <c r="G274">
        <v>4</v>
      </c>
      <c r="H274" s="2">
        <v>1408</v>
      </c>
      <c r="I274" s="2">
        <v>1193.22</v>
      </c>
      <c r="J274" t="s">
        <v>39</v>
      </c>
      <c r="K274">
        <v>11</v>
      </c>
      <c r="L274">
        <v>1070</v>
      </c>
      <c r="M274">
        <v>900003</v>
      </c>
    </row>
    <row r="275" spans="1:13" x14ac:dyDescent="0.3">
      <c r="A275" s="1">
        <v>44284</v>
      </c>
      <c r="B275" t="s">
        <v>110</v>
      </c>
      <c r="C275" t="str">
        <f t="shared" si="9"/>
        <v>Oil</v>
      </c>
      <c r="G275">
        <v>1</v>
      </c>
      <c r="H275">
        <v>22.5</v>
      </c>
      <c r="I275">
        <v>19.07</v>
      </c>
      <c r="J275" t="s">
        <v>27</v>
      </c>
      <c r="K275">
        <v>14</v>
      </c>
      <c r="L275">
        <v>1070</v>
      </c>
      <c r="M275">
        <v>644692</v>
      </c>
    </row>
    <row r="276" spans="1:13" x14ac:dyDescent="0.3">
      <c r="A276" s="1">
        <v>44284</v>
      </c>
      <c r="B276" t="s">
        <v>161</v>
      </c>
      <c r="C276" t="str">
        <f t="shared" si="9"/>
        <v>Oil</v>
      </c>
      <c r="G276">
        <v>5</v>
      </c>
      <c r="H276">
        <v>127.5</v>
      </c>
      <c r="I276">
        <v>108.05</v>
      </c>
      <c r="J276" t="s">
        <v>19</v>
      </c>
      <c r="K276">
        <v>14</v>
      </c>
      <c r="L276">
        <v>1070</v>
      </c>
      <c r="M276">
        <v>677688</v>
      </c>
    </row>
    <row r="277" spans="1:13" x14ac:dyDescent="0.3">
      <c r="A277" s="1">
        <v>44284</v>
      </c>
      <c r="B277" t="s">
        <v>22</v>
      </c>
      <c r="C277" t="str">
        <f t="shared" si="9"/>
        <v>Battery</v>
      </c>
      <c r="G277">
        <v>1</v>
      </c>
      <c r="H277">
        <v>203.2</v>
      </c>
      <c r="I277">
        <v>172.2</v>
      </c>
      <c r="J277" t="s">
        <v>15</v>
      </c>
      <c r="K277">
        <v>13</v>
      </c>
      <c r="L277">
        <v>1070</v>
      </c>
      <c r="M277">
        <v>900003</v>
      </c>
    </row>
    <row r="278" spans="1:13" x14ac:dyDescent="0.3">
      <c r="A278" s="1">
        <v>44284</v>
      </c>
      <c r="B278" t="s">
        <v>30</v>
      </c>
      <c r="C278" t="str">
        <f t="shared" si="9"/>
        <v>Battery</v>
      </c>
      <c r="G278">
        <v>1</v>
      </c>
      <c r="H278">
        <v>651.20000000000005</v>
      </c>
      <c r="I278">
        <v>551.86</v>
      </c>
      <c r="J278" t="s">
        <v>15</v>
      </c>
      <c r="K278">
        <v>13</v>
      </c>
      <c r="L278">
        <v>1070</v>
      </c>
      <c r="M278">
        <v>900003</v>
      </c>
    </row>
    <row r="279" spans="1:13" x14ac:dyDescent="0.3">
      <c r="A279" s="1">
        <v>44284</v>
      </c>
      <c r="B279" t="s">
        <v>53</v>
      </c>
      <c r="C279" t="str">
        <f t="shared" si="9"/>
        <v>Oil</v>
      </c>
      <c r="G279">
        <v>5</v>
      </c>
      <c r="H279">
        <v>120</v>
      </c>
      <c r="I279">
        <v>101.7</v>
      </c>
      <c r="J279" t="s">
        <v>19</v>
      </c>
      <c r="K279">
        <v>14</v>
      </c>
      <c r="L279">
        <v>1070</v>
      </c>
      <c r="M279">
        <v>607943</v>
      </c>
    </row>
    <row r="280" spans="1:13" x14ac:dyDescent="0.3">
      <c r="A280" s="1">
        <v>44285</v>
      </c>
      <c r="B280" t="s">
        <v>14</v>
      </c>
      <c r="C280" t="str">
        <f t="shared" si="9"/>
        <v>Battery</v>
      </c>
      <c r="G280">
        <v>-1</v>
      </c>
      <c r="H280">
        <v>-263.2</v>
      </c>
      <c r="I280">
        <v>-223.05</v>
      </c>
      <c r="J280" t="s">
        <v>15</v>
      </c>
      <c r="K280">
        <v>13</v>
      </c>
      <c r="L280">
        <v>1070</v>
      </c>
      <c r="M280">
        <v>900003</v>
      </c>
    </row>
    <row r="281" spans="1:13" x14ac:dyDescent="0.3">
      <c r="A281" s="1">
        <v>44285</v>
      </c>
      <c r="B281" t="s">
        <v>162</v>
      </c>
      <c r="C281" t="str">
        <f t="shared" si="9"/>
        <v>Battery</v>
      </c>
      <c r="G281">
        <v>1</v>
      </c>
      <c r="H281">
        <v>99.2</v>
      </c>
      <c r="I281">
        <v>84.07</v>
      </c>
      <c r="J281" t="s">
        <v>15</v>
      </c>
      <c r="K281">
        <v>13</v>
      </c>
      <c r="L281">
        <v>1070</v>
      </c>
      <c r="M281">
        <v>786509</v>
      </c>
    </row>
    <row r="282" spans="1:13" x14ac:dyDescent="0.3">
      <c r="A282" s="1">
        <v>44285</v>
      </c>
      <c r="B282" t="s">
        <v>117</v>
      </c>
      <c r="C282" t="str">
        <f t="shared" si="9"/>
        <v>Tire</v>
      </c>
      <c r="D282" s="4"/>
      <c r="G282">
        <v>2</v>
      </c>
      <c r="H282">
        <v>304</v>
      </c>
      <c r="I282">
        <v>257.63</v>
      </c>
      <c r="J282" t="s">
        <v>39</v>
      </c>
      <c r="K282">
        <v>11</v>
      </c>
      <c r="L282">
        <v>1070</v>
      </c>
      <c r="M282">
        <v>724284</v>
      </c>
    </row>
    <row r="283" spans="1:13" x14ac:dyDescent="0.3">
      <c r="A283" s="1">
        <v>44285</v>
      </c>
      <c r="B283" t="s">
        <v>117</v>
      </c>
      <c r="C283" t="str">
        <f t="shared" si="9"/>
        <v>Tire</v>
      </c>
      <c r="D283" s="4"/>
      <c r="G283">
        <v>2</v>
      </c>
      <c r="H283">
        <v>304</v>
      </c>
      <c r="I283">
        <v>257.63</v>
      </c>
      <c r="J283" t="s">
        <v>39</v>
      </c>
      <c r="K283">
        <v>11</v>
      </c>
      <c r="L283">
        <v>1070</v>
      </c>
      <c r="M283">
        <v>768372</v>
      </c>
    </row>
    <row r="284" spans="1:13" x14ac:dyDescent="0.3">
      <c r="A284" s="1">
        <v>44285</v>
      </c>
      <c r="B284" t="s">
        <v>150</v>
      </c>
      <c r="C284" t="str">
        <f t="shared" si="9"/>
        <v>Battery</v>
      </c>
      <c r="G284">
        <v>1</v>
      </c>
      <c r="H284">
        <v>155.19999999999999</v>
      </c>
      <c r="I284">
        <v>131.53</v>
      </c>
      <c r="J284" t="s">
        <v>15</v>
      </c>
      <c r="K284">
        <v>13</v>
      </c>
      <c r="L284">
        <v>1070</v>
      </c>
      <c r="M284">
        <v>900003</v>
      </c>
    </row>
    <row r="285" spans="1:13" x14ac:dyDescent="0.3">
      <c r="A285" s="1">
        <v>44285</v>
      </c>
      <c r="B285" t="s">
        <v>106</v>
      </c>
      <c r="C285" t="s">
        <v>178</v>
      </c>
      <c r="D285" s="4"/>
      <c r="G285">
        <v>4</v>
      </c>
      <c r="H285">
        <v>800</v>
      </c>
      <c r="I285">
        <v>677.97</v>
      </c>
      <c r="J285" t="s">
        <v>107</v>
      </c>
      <c r="K285">
        <v>11</v>
      </c>
      <c r="L285">
        <v>1070</v>
      </c>
      <c r="M285">
        <v>900003</v>
      </c>
    </row>
    <row r="286" spans="1:13" x14ac:dyDescent="0.3">
      <c r="A286" s="1">
        <v>44285</v>
      </c>
      <c r="B286" t="s">
        <v>106</v>
      </c>
      <c r="C286" t="s">
        <v>178</v>
      </c>
      <c r="D286" s="4"/>
      <c r="G286">
        <v>4</v>
      </c>
      <c r="H286">
        <v>800</v>
      </c>
      <c r="I286">
        <v>677.97</v>
      </c>
      <c r="J286" t="s">
        <v>107</v>
      </c>
      <c r="K286">
        <v>11</v>
      </c>
      <c r="L286">
        <v>1070</v>
      </c>
      <c r="M286">
        <v>684811</v>
      </c>
    </row>
    <row r="287" spans="1:13" x14ac:dyDescent="0.3">
      <c r="A287" s="1">
        <v>44285</v>
      </c>
      <c r="B287" t="s">
        <v>108</v>
      </c>
      <c r="C287" t="s">
        <v>178</v>
      </c>
      <c r="D287" s="4"/>
      <c r="G287">
        <v>2</v>
      </c>
      <c r="H287">
        <v>400</v>
      </c>
      <c r="I287">
        <v>338.98</v>
      </c>
      <c r="J287" t="s">
        <v>39</v>
      </c>
      <c r="K287">
        <v>11</v>
      </c>
      <c r="L287">
        <v>1070</v>
      </c>
      <c r="M287">
        <v>900003</v>
      </c>
    </row>
    <row r="288" spans="1:13" x14ac:dyDescent="0.3">
      <c r="A288" s="1">
        <v>44285</v>
      </c>
      <c r="B288" t="s">
        <v>90</v>
      </c>
      <c r="C288" t="str">
        <f t="shared" ref="C288:C293" si="10">IF(LEFT($B288,FIND(" ",$B288)-1)=$D$2,"Oil",IF(LEFT($B288,FIND(" ",$B288)-1)=$D$3,"Battery", IF(LEFT($B288, FIND(" ", $B288)-1) = $D$4, "Tire", " "      )                   ))</f>
        <v>Oil</v>
      </c>
      <c r="G288">
        <v>4</v>
      </c>
      <c r="H288">
        <v>69</v>
      </c>
      <c r="I288">
        <v>58.47</v>
      </c>
      <c r="J288" t="s">
        <v>19</v>
      </c>
      <c r="K288">
        <v>14</v>
      </c>
      <c r="L288">
        <v>1070</v>
      </c>
      <c r="M288">
        <v>900003</v>
      </c>
    </row>
    <row r="289" spans="1:13" x14ac:dyDescent="0.3">
      <c r="A289" s="1">
        <v>44285</v>
      </c>
      <c r="B289" t="s">
        <v>163</v>
      </c>
      <c r="C289" t="str">
        <f t="shared" si="10"/>
        <v>Oil</v>
      </c>
      <c r="G289">
        <v>2</v>
      </c>
      <c r="H289">
        <v>37.5</v>
      </c>
      <c r="I289">
        <v>31.78</v>
      </c>
      <c r="J289" t="s">
        <v>19</v>
      </c>
      <c r="K289">
        <v>14</v>
      </c>
      <c r="L289">
        <v>1070</v>
      </c>
      <c r="M289">
        <v>900003</v>
      </c>
    </row>
    <row r="290" spans="1:13" x14ac:dyDescent="0.3">
      <c r="A290" s="1">
        <v>44285</v>
      </c>
      <c r="B290" t="s">
        <v>42</v>
      </c>
      <c r="C290" t="str">
        <f t="shared" si="10"/>
        <v>Oil</v>
      </c>
      <c r="G290">
        <v>9</v>
      </c>
      <c r="H290">
        <v>249.75</v>
      </c>
      <c r="I290">
        <v>211.65</v>
      </c>
      <c r="J290" t="s">
        <v>19</v>
      </c>
      <c r="K290">
        <v>14</v>
      </c>
      <c r="L290">
        <v>1070</v>
      </c>
      <c r="M290">
        <v>259308</v>
      </c>
    </row>
    <row r="291" spans="1:13" x14ac:dyDescent="0.3">
      <c r="A291" s="1">
        <v>44285</v>
      </c>
      <c r="B291" t="s">
        <v>164</v>
      </c>
      <c r="C291" t="str">
        <f t="shared" si="10"/>
        <v>Oil</v>
      </c>
      <c r="G291">
        <v>1</v>
      </c>
      <c r="H291">
        <v>21</v>
      </c>
      <c r="I291">
        <v>17.8</v>
      </c>
      <c r="J291" t="s">
        <v>27</v>
      </c>
      <c r="K291">
        <v>14</v>
      </c>
      <c r="L291">
        <v>1070</v>
      </c>
      <c r="M291">
        <v>900003</v>
      </c>
    </row>
    <row r="292" spans="1:13" x14ac:dyDescent="0.3">
      <c r="A292" s="1">
        <v>44285</v>
      </c>
      <c r="B292" t="s">
        <v>165</v>
      </c>
      <c r="C292" t="str">
        <f t="shared" si="10"/>
        <v>Oil</v>
      </c>
      <c r="G292">
        <v>5</v>
      </c>
      <c r="H292">
        <v>97.5</v>
      </c>
      <c r="I292">
        <v>82.63</v>
      </c>
      <c r="J292" t="s">
        <v>27</v>
      </c>
      <c r="K292">
        <v>14</v>
      </c>
      <c r="L292">
        <v>1070</v>
      </c>
      <c r="M292">
        <v>900003</v>
      </c>
    </row>
    <row r="293" spans="1:13" x14ac:dyDescent="0.3">
      <c r="A293" s="1">
        <v>44285</v>
      </c>
      <c r="B293" t="s">
        <v>37</v>
      </c>
      <c r="C293" t="str">
        <f t="shared" si="10"/>
        <v>Battery</v>
      </c>
      <c r="G293">
        <v>1</v>
      </c>
      <c r="H293">
        <v>403.2</v>
      </c>
      <c r="I293">
        <v>341.69</v>
      </c>
      <c r="J293" t="s">
        <v>15</v>
      </c>
      <c r="K293">
        <v>13</v>
      </c>
      <c r="L293">
        <v>1070</v>
      </c>
      <c r="M293">
        <v>272698</v>
      </c>
    </row>
    <row r="294" spans="1:13" x14ac:dyDescent="0.3">
      <c r="A294" s="1">
        <v>44285</v>
      </c>
      <c r="B294" t="s">
        <v>106</v>
      </c>
      <c r="C294" t="s">
        <v>178</v>
      </c>
      <c r="D294" s="4"/>
      <c r="G294">
        <v>4</v>
      </c>
      <c r="H294">
        <v>800</v>
      </c>
      <c r="I294">
        <v>677.97</v>
      </c>
      <c r="J294" t="s">
        <v>107</v>
      </c>
      <c r="K294">
        <v>11</v>
      </c>
      <c r="L294">
        <v>1070</v>
      </c>
      <c r="M294">
        <v>900003</v>
      </c>
    </row>
    <row r="295" spans="1:13" x14ac:dyDescent="0.3">
      <c r="A295" s="1">
        <v>44285</v>
      </c>
      <c r="B295" t="s">
        <v>66</v>
      </c>
      <c r="C295" t="str">
        <f>IF(LEFT($B295,FIND(" ",$B295)-1)=$D$2,"Oil",IF(LEFT($B295,FIND(" ",$B295)-1)=$D$3,"Battery", IF(LEFT($B295, FIND(" ", $B295)-1) = $D$4, "Tire", " "      )                   ))</f>
        <v>Tire</v>
      </c>
      <c r="D295" s="4"/>
      <c r="G295">
        <v>4</v>
      </c>
      <c r="H295" s="2">
        <v>1120</v>
      </c>
      <c r="I295">
        <v>949.15</v>
      </c>
      <c r="J295" t="s">
        <v>39</v>
      </c>
      <c r="K295">
        <v>11</v>
      </c>
      <c r="L295">
        <v>1070</v>
      </c>
      <c r="M295">
        <v>698058</v>
      </c>
    </row>
    <row r="296" spans="1:13" x14ac:dyDescent="0.3">
      <c r="A296" s="1">
        <v>44285</v>
      </c>
      <c r="B296" t="s">
        <v>30</v>
      </c>
      <c r="C296" t="str">
        <f>IF(LEFT($B296,FIND(" ",$B296)-1)=$D$2,"Oil",IF(LEFT($B296,FIND(" ",$B296)-1)=$D$3,"Battery", IF(LEFT($B296, FIND(" ", $B296)-1) = $D$4, "Tire", " "      )                   ))</f>
        <v>Battery</v>
      </c>
      <c r="G296">
        <v>1</v>
      </c>
      <c r="H296">
        <v>651.20000000000005</v>
      </c>
      <c r="I296">
        <v>551.86</v>
      </c>
      <c r="J296" t="s">
        <v>15</v>
      </c>
      <c r="K296">
        <v>13</v>
      </c>
      <c r="L296">
        <v>1070</v>
      </c>
      <c r="M296">
        <v>231588</v>
      </c>
    </row>
    <row r="297" spans="1:13" x14ac:dyDescent="0.3">
      <c r="A297" s="1">
        <v>44285</v>
      </c>
      <c r="B297" t="s">
        <v>108</v>
      </c>
      <c r="C297" t="s">
        <v>178</v>
      </c>
      <c r="D297" s="4"/>
      <c r="G297">
        <v>4</v>
      </c>
      <c r="H297">
        <v>800</v>
      </c>
      <c r="I297">
        <v>677.97</v>
      </c>
      <c r="J297" t="s">
        <v>39</v>
      </c>
      <c r="K297">
        <v>11</v>
      </c>
      <c r="L297">
        <v>1070</v>
      </c>
      <c r="M297">
        <v>900003</v>
      </c>
    </row>
    <row r="298" spans="1:13" x14ac:dyDescent="0.3">
      <c r="A298" s="1">
        <v>44285</v>
      </c>
      <c r="B298" t="s">
        <v>31</v>
      </c>
      <c r="C298" t="str">
        <f>IF(LEFT($B298,FIND(" ",$B298)-1)=$D$2,"Oil",IF(LEFT($B298,FIND(" ",$B298)-1)=$D$3,"Battery", IF(LEFT($B298, FIND(" ", $B298)-1) = $D$4, "Tire", " "      )                   ))</f>
        <v>Battery</v>
      </c>
      <c r="G298">
        <v>1</v>
      </c>
      <c r="H298">
        <v>175.2</v>
      </c>
      <c r="I298">
        <v>148.47</v>
      </c>
      <c r="J298" t="s">
        <v>15</v>
      </c>
      <c r="K298">
        <v>13</v>
      </c>
      <c r="L298">
        <v>1070</v>
      </c>
      <c r="M298">
        <v>900003</v>
      </c>
    </row>
    <row r="299" spans="1:13" x14ac:dyDescent="0.3">
      <c r="A299" s="1">
        <v>44285</v>
      </c>
      <c r="B299" t="s">
        <v>166</v>
      </c>
      <c r="C299" t="str">
        <f>IF(LEFT($B299,FIND(" ",$B299)-1)=$D$2,"Oil",IF(LEFT($B299,FIND(" ",$B299)-1)=$D$3,"Battery", IF(LEFT($B299, FIND(" ", $B299)-1) = $D$4, "Tire", " "      )                   ))</f>
        <v>Tire</v>
      </c>
      <c r="D299" s="4"/>
      <c r="G299">
        <v>4</v>
      </c>
      <c r="H299">
        <v>896</v>
      </c>
      <c r="I299">
        <v>759.32</v>
      </c>
      <c r="J299" t="s">
        <v>39</v>
      </c>
      <c r="K299">
        <v>11</v>
      </c>
      <c r="L299">
        <v>1070</v>
      </c>
      <c r="M299">
        <v>900003</v>
      </c>
    </row>
    <row r="300" spans="1:13" x14ac:dyDescent="0.3">
      <c r="A300" s="1">
        <v>44285</v>
      </c>
      <c r="B300" t="s">
        <v>176</v>
      </c>
      <c r="C300" t="s">
        <v>178</v>
      </c>
      <c r="D300" s="4"/>
      <c r="G300">
        <v>4</v>
      </c>
      <c r="H300">
        <v>864</v>
      </c>
      <c r="I300">
        <v>732.2</v>
      </c>
      <c r="J300" t="s">
        <v>33</v>
      </c>
      <c r="K300">
        <v>11</v>
      </c>
      <c r="L300">
        <v>1070</v>
      </c>
      <c r="M300">
        <v>871549</v>
      </c>
    </row>
    <row r="301" spans="1:13" x14ac:dyDescent="0.3">
      <c r="A301" s="1">
        <v>44286</v>
      </c>
      <c r="B301" t="s">
        <v>16</v>
      </c>
      <c r="C301" t="str">
        <f t="shared" ref="C301:C310" si="11">IF(LEFT($B301,FIND(" ",$B301)-1)=$D$2,"Oil",IF(LEFT($B301,FIND(" ",$B301)-1)=$D$3,"Battery", IF(LEFT($B301, FIND(" ", $B301)-1) = $D$4, "Tire", " "      )                   ))</f>
        <v>Battery</v>
      </c>
      <c r="G301">
        <v>-1</v>
      </c>
      <c r="H301">
        <v>-731.2</v>
      </c>
      <c r="I301">
        <v>-619.66</v>
      </c>
      <c r="J301" t="s">
        <v>15</v>
      </c>
      <c r="K301">
        <v>13</v>
      </c>
      <c r="L301">
        <v>1070</v>
      </c>
      <c r="M301">
        <v>268076</v>
      </c>
    </row>
    <row r="302" spans="1:13" x14ac:dyDescent="0.3">
      <c r="A302" s="1">
        <v>44286</v>
      </c>
      <c r="B302" t="s">
        <v>53</v>
      </c>
      <c r="C302" t="str">
        <f t="shared" si="11"/>
        <v>Oil</v>
      </c>
      <c r="G302">
        <v>6</v>
      </c>
      <c r="H302">
        <v>144</v>
      </c>
      <c r="I302">
        <v>122.04</v>
      </c>
      <c r="J302" t="s">
        <v>19</v>
      </c>
      <c r="K302">
        <v>14</v>
      </c>
      <c r="L302">
        <v>1070</v>
      </c>
      <c r="M302">
        <v>232137</v>
      </c>
    </row>
    <row r="303" spans="1:13" x14ac:dyDescent="0.3">
      <c r="A303" s="1">
        <v>44286</v>
      </c>
      <c r="B303" t="s">
        <v>144</v>
      </c>
      <c r="C303" t="str">
        <f t="shared" si="11"/>
        <v>Tire</v>
      </c>
      <c r="D303" s="4"/>
      <c r="G303">
        <v>4</v>
      </c>
      <c r="H303">
        <v>832</v>
      </c>
      <c r="I303">
        <v>705.08</v>
      </c>
      <c r="J303" t="s">
        <v>39</v>
      </c>
      <c r="K303">
        <v>11</v>
      </c>
      <c r="L303">
        <v>1070</v>
      </c>
      <c r="M303">
        <v>607192</v>
      </c>
    </row>
    <row r="304" spans="1:13" x14ac:dyDescent="0.3">
      <c r="A304" s="1">
        <v>44286</v>
      </c>
      <c r="B304" t="s">
        <v>167</v>
      </c>
      <c r="C304" t="str">
        <f t="shared" si="11"/>
        <v>Tire</v>
      </c>
      <c r="D304" s="4"/>
      <c r="G304">
        <v>4</v>
      </c>
      <c r="H304">
        <v>540</v>
      </c>
      <c r="I304">
        <v>457.63</v>
      </c>
      <c r="J304" t="s">
        <v>33</v>
      </c>
      <c r="K304">
        <v>11</v>
      </c>
      <c r="L304">
        <v>1070</v>
      </c>
      <c r="M304">
        <v>900003</v>
      </c>
    </row>
    <row r="305" spans="1:13" x14ac:dyDescent="0.3">
      <c r="A305" s="1">
        <v>44286</v>
      </c>
      <c r="B305" t="s">
        <v>114</v>
      </c>
      <c r="C305" t="str">
        <f t="shared" si="11"/>
        <v>Tire</v>
      </c>
      <c r="D305" s="4"/>
      <c r="G305">
        <v>4</v>
      </c>
      <c r="H305">
        <v>560</v>
      </c>
      <c r="I305">
        <v>474.58</v>
      </c>
      <c r="J305" t="s">
        <v>39</v>
      </c>
      <c r="K305">
        <v>11</v>
      </c>
      <c r="L305">
        <v>1070</v>
      </c>
      <c r="M305">
        <v>244243</v>
      </c>
    </row>
    <row r="306" spans="1:13" x14ac:dyDescent="0.3">
      <c r="A306" s="1">
        <v>44286</v>
      </c>
      <c r="B306" t="s">
        <v>119</v>
      </c>
      <c r="C306" t="str">
        <f t="shared" si="11"/>
        <v>Oil</v>
      </c>
      <c r="G306">
        <v>4</v>
      </c>
      <c r="H306">
        <v>63</v>
      </c>
      <c r="I306">
        <v>53.39</v>
      </c>
      <c r="J306" t="s">
        <v>19</v>
      </c>
      <c r="K306">
        <v>14</v>
      </c>
      <c r="L306">
        <v>1070</v>
      </c>
      <c r="M306">
        <v>280961</v>
      </c>
    </row>
    <row r="307" spans="1:13" x14ac:dyDescent="0.3">
      <c r="A307" s="1">
        <v>44286</v>
      </c>
      <c r="B307" t="s">
        <v>168</v>
      </c>
      <c r="C307" t="str">
        <f t="shared" si="11"/>
        <v>Oil</v>
      </c>
      <c r="G307">
        <v>5</v>
      </c>
      <c r="H307">
        <v>123.75</v>
      </c>
      <c r="I307">
        <v>104.87</v>
      </c>
      <c r="J307" t="s">
        <v>19</v>
      </c>
      <c r="K307">
        <v>14</v>
      </c>
      <c r="L307">
        <v>1070</v>
      </c>
      <c r="M307">
        <v>215791</v>
      </c>
    </row>
    <row r="308" spans="1:13" x14ac:dyDescent="0.3">
      <c r="A308" s="1">
        <v>44286</v>
      </c>
      <c r="B308" t="s">
        <v>16</v>
      </c>
      <c r="C308" t="str">
        <f t="shared" si="11"/>
        <v>Battery</v>
      </c>
      <c r="G308">
        <v>1</v>
      </c>
      <c r="H308">
        <v>731.2</v>
      </c>
      <c r="I308">
        <v>619.66</v>
      </c>
      <c r="J308" t="s">
        <v>15</v>
      </c>
      <c r="K308">
        <v>13</v>
      </c>
      <c r="L308">
        <v>1070</v>
      </c>
      <c r="M308">
        <v>268076</v>
      </c>
    </row>
    <row r="309" spans="1:13" x14ac:dyDescent="0.3">
      <c r="A309" s="1">
        <v>44286</v>
      </c>
      <c r="B309" t="s">
        <v>14</v>
      </c>
      <c r="C309" t="str">
        <f t="shared" si="11"/>
        <v>Battery</v>
      </c>
      <c r="G309">
        <v>1</v>
      </c>
      <c r="H309">
        <v>263.2</v>
      </c>
      <c r="I309">
        <v>223.05</v>
      </c>
      <c r="J309" t="s">
        <v>15</v>
      </c>
      <c r="K309">
        <v>13</v>
      </c>
      <c r="L309">
        <v>1070</v>
      </c>
      <c r="M309">
        <v>900003</v>
      </c>
    </row>
    <row r="310" spans="1:13" x14ac:dyDescent="0.3">
      <c r="A310" s="1">
        <v>44286</v>
      </c>
      <c r="B310" t="s">
        <v>43</v>
      </c>
      <c r="C310" t="str">
        <f t="shared" si="11"/>
        <v>Battery</v>
      </c>
      <c r="G310">
        <v>1</v>
      </c>
      <c r="H310">
        <v>155.19999999999999</v>
      </c>
      <c r="I310">
        <v>131.53</v>
      </c>
      <c r="J310" t="s">
        <v>15</v>
      </c>
      <c r="K310">
        <v>13</v>
      </c>
      <c r="L310">
        <v>1070</v>
      </c>
      <c r="M310">
        <v>612291</v>
      </c>
    </row>
    <row r="311" spans="1:13" x14ac:dyDescent="0.3">
      <c r="A311" s="1">
        <v>44286</v>
      </c>
      <c r="B311" t="s">
        <v>106</v>
      </c>
      <c r="C311" t="s">
        <v>178</v>
      </c>
      <c r="D311" s="4"/>
      <c r="G311">
        <v>4</v>
      </c>
      <c r="H311">
        <v>800</v>
      </c>
      <c r="I311">
        <v>677.97</v>
      </c>
      <c r="J311" t="s">
        <v>107</v>
      </c>
      <c r="K311">
        <v>11</v>
      </c>
      <c r="L311">
        <v>1070</v>
      </c>
      <c r="M311">
        <v>900003</v>
      </c>
    </row>
    <row r="312" spans="1:13" x14ac:dyDescent="0.3">
      <c r="A312" s="1">
        <v>44286</v>
      </c>
      <c r="B312" t="s">
        <v>42</v>
      </c>
      <c r="C312" t="str">
        <f t="shared" ref="C312:C319" si="12">IF(LEFT($B312,FIND(" ",$B312)-1)=$D$2,"Oil",IF(LEFT($B312,FIND(" ",$B312)-1)=$D$3,"Battery", IF(LEFT($B312, FIND(" ", $B312)-1) = $D$4, "Tire", " "      )                   ))</f>
        <v>Oil</v>
      </c>
      <c r="G312">
        <v>8</v>
      </c>
      <c r="H312">
        <v>222</v>
      </c>
      <c r="I312">
        <v>188.14</v>
      </c>
      <c r="J312" t="s">
        <v>19</v>
      </c>
      <c r="K312">
        <v>14</v>
      </c>
      <c r="L312">
        <v>1070</v>
      </c>
      <c r="M312">
        <v>900003</v>
      </c>
    </row>
    <row r="313" spans="1:13" x14ac:dyDescent="0.3">
      <c r="A313" s="1">
        <v>44286</v>
      </c>
      <c r="B313" t="s">
        <v>169</v>
      </c>
      <c r="C313" t="str">
        <f t="shared" si="12"/>
        <v>Oil</v>
      </c>
      <c r="G313">
        <v>4</v>
      </c>
      <c r="H313">
        <v>108</v>
      </c>
      <c r="I313">
        <v>91.53</v>
      </c>
      <c r="J313" t="s">
        <v>25</v>
      </c>
      <c r="K313">
        <v>14</v>
      </c>
      <c r="L313">
        <v>1070</v>
      </c>
      <c r="M313">
        <v>605353</v>
      </c>
    </row>
    <row r="314" spans="1:13" x14ac:dyDescent="0.3">
      <c r="A314" s="1">
        <v>44286</v>
      </c>
      <c r="B314" t="s">
        <v>155</v>
      </c>
      <c r="C314" t="str">
        <f t="shared" si="12"/>
        <v>Oil</v>
      </c>
      <c r="G314">
        <v>5</v>
      </c>
      <c r="H314">
        <v>131.25</v>
      </c>
      <c r="I314">
        <v>111.23</v>
      </c>
      <c r="J314" t="s">
        <v>27</v>
      </c>
      <c r="K314">
        <v>14</v>
      </c>
      <c r="L314">
        <v>1070</v>
      </c>
      <c r="M314">
        <v>668170</v>
      </c>
    </row>
    <row r="315" spans="1:13" x14ac:dyDescent="0.3">
      <c r="A315" s="1">
        <v>44286</v>
      </c>
      <c r="B315" t="s">
        <v>168</v>
      </c>
      <c r="C315" t="str">
        <f t="shared" si="12"/>
        <v>Oil</v>
      </c>
      <c r="G315">
        <v>5</v>
      </c>
      <c r="H315">
        <v>123.75</v>
      </c>
      <c r="I315">
        <v>104.87</v>
      </c>
      <c r="J315" t="s">
        <v>19</v>
      </c>
      <c r="K315">
        <v>14</v>
      </c>
      <c r="L315">
        <v>1070</v>
      </c>
      <c r="M315">
        <v>900003</v>
      </c>
    </row>
    <row r="316" spans="1:13" x14ac:dyDescent="0.3">
      <c r="A316" s="1">
        <v>44286</v>
      </c>
      <c r="B316" t="s">
        <v>131</v>
      </c>
      <c r="C316" t="str">
        <f t="shared" si="12"/>
        <v>Oil</v>
      </c>
      <c r="G316">
        <v>1</v>
      </c>
      <c r="H316">
        <v>18.75</v>
      </c>
      <c r="I316">
        <v>15.89</v>
      </c>
      <c r="J316" t="s">
        <v>19</v>
      </c>
      <c r="K316">
        <v>14</v>
      </c>
      <c r="L316">
        <v>1070</v>
      </c>
      <c r="M316">
        <v>900003</v>
      </c>
    </row>
    <row r="317" spans="1:13" x14ac:dyDescent="0.3">
      <c r="A317" s="1">
        <v>44286</v>
      </c>
      <c r="B317" t="s">
        <v>132</v>
      </c>
      <c r="C317" t="str">
        <f t="shared" si="12"/>
        <v>Oil</v>
      </c>
      <c r="G317">
        <v>4</v>
      </c>
      <c r="H317">
        <v>69</v>
      </c>
      <c r="I317">
        <v>58.47</v>
      </c>
      <c r="J317" t="s">
        <v>19</v>
      </c>
      <c r="K317">
        <v>14</v>
      </c>
      <c r="L317">
        <v>1070</v>
      </c>
      <c r="M317">
        <v>900003</v>
      </c>
    </row>
    <row r="318" spans="1:13" x14ac:dyDescent="0.3">
      <c r="A318" s="1">
        <v>44286</v>
      </c>
      <c r="B318" t="s">
        <v>117</v>
      </c>
      <c r="C318" t="str">
        <f t="shared" si="12"/>
        <v>Tire</v>
      </c>
      <c r="D318" s="4"/>
      <c r="G318">
        <v>4</v>
      </c>
      <c r="H318">
        <v>608</v>
      </c>
      <c r="I318">
        <v>515.25</v>
      </c>
      <c r="J318" t="s">
        <v>39</v>
      </c>
      <c r="K318">
        <v>11</v>
      </c>
      <c r="L318">
        <v>1070</v>
      </c>
      <c r="M318">
        <v>861035</v>
      </c>
    </row>
    <row r="319" spans="1:13" x14ac:dyDescent="0.3">
      <c r="A319" s="1">
        <v>44286</v>
      </c>
      <c r="B319" t="s">
        <v>177</v>
      </c>
      <c r="C319" t="str">
        <f t="shared" si="12"/>
        <v>Tire</v>
      </c>
      <c r="D319" s="4"/>
      <c r="G319">
        <v>4</v>
      </c>
      <c r="H319">
        <v>512</v>
      </c>
      <c r="I319">
        <v>433.9</v>
      </c>
      <c r="J319" t="s">
        <v>39</v>
      </c>
      <c r="K319">
        <v>11</v>
      </c>
      <c r="L319">
        <v>1070</v>
      </c>
      <c r="M319">
        <v>237118</v>
      </c>
    </row>
    <row r="320" spans="1:13" x14ac:dyDescent="0.3">
      <c r="A320" s="6">
        <v>44286</v>
      </c>
      <c r="B320" s="7" t="s">
        <v>177</v>
      </c>
      <c r="C320" t="s">
        <v>178</v>
      </c>
      <c r="G320" s="8">
        <v>4</v>
      </c>
      <c r="H320" s="9">
        <v>512</v>
      </c>
      <c r="I320" s="9">
        <v>433.9</v>
      </c>
      <c r="J320" s="7" t="s">
        <v>39</v>
      </c>
      <c r="K320">
        <v>11</v>
      </c>
      <c r="L320">
        <v>1070</v>
      </c>
      <c r="M320" s="7" t="s">
        <v>211</v>
      </c>
    </row>
  </sheetData>
  <sortState xmlns:xlrd2="http://schemas.microsoft.com/office/spreadsheetml/2017/richdata2" ref="A2:N319">
    <sortCondition ref="A2:A3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Nick Chesterfield</cp:lastModifiedBy>
  <dcterms:created xsi:type="dcterms:W3CDTF">2021-07-16T14:21:36Z</dcterms:created>
  <dcterms:modified xsi:type="dcterms:W3CDTF">2021-07-29T18:05:37Z</dcterms:modified>
</cp:coreProperties>
</file>